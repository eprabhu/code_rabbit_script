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7DEF7B84-2E63-47A0-AEAC-86D4754D02B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rm 1a " sheetId="9" r:id="rId1"/>
    <sheet name="Form 1b" sheetId="8" r:id="rId2"/>
  </sheets>
  <definedNames>
    <definedName name="_xlnm.Print_Area" localSheetId="0">'Form 1a '!$B$1:$J$36</definedName>
    <definedName name="_xlnm.Print_Area" localSheetId="1">'Form 1b'!$A$1:$I$77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6" i="8" l="1"/>
  <c r="B65" i="8"/>
  <c r="B87" i="8" a="1"/>
  <c r="H20" i="9" a="1"/>
  <c r="G20" i="9" a="1"/>
  <c r="F20" i="9" a="1"/>
  <c r="E20" i="9" a="1"/>
  <c r="D20" i="9" a="1"/>
  <c r="C20" i="9" a="1"/>
  <c r="B87" i="8" l="1"/>
  <c r="H20" i="9"/>
  <c r="G20" i="9"/>
  <c r="G21" i="9" s="1"/>
  <c r="F20" i="9"/>
  <c r="E20" i="9"/>
  <c r="E21" i="9" s="1"/>
  <c r="D20" i="9"/>
  <c r="D21" i="9" s="1"/>
  <c r="C20" i="9"/>
  <c r="C21" i="9" s="1"/>
  <c r="H21" i="9"/>
  <c r="B33" i="8" l="1"/>
  <c r="B48" i="8"/>
  <c r="B40" i="8"/>
  <c r="B58" i="8"/>
  <c r="G22" i="9" l="1"/>
  <c r="G23" i="9" s="1"/>
  <c r="D22" i="9"/>
  <c r="D23" i="9" s="1"/>
  <c r="E23" i="9"/>
  <c r="F10" i="9"/>
  <c r="E11" i="9"/>
  <c r="F21" i="9" l="1"/>
  <c r="F23" i="9"/>
  <c r="F16" i="9"/>
  <c r="D18" i="9"/>
  <c r="F13" i="9" l="1"/>
  <c r="E17" i="9"/>
  <c r="E14" i="9"/>
  <c r="C23" i="9" l="1"/>
  <c r="H18" i="9"/>
  <c r="G18" i="9"/>
  <c r="H15" i="9"/>
  <c r="G15" i="9"/>
  <c r="H12" i="9"/>
  <c r="G12" i="9"/>
  <c r="D15" i="9" l="1"/>
  <c r="D12" i="9"/>
  <c r="H22" i="9" l="1"/>
  <c r="H23" i="9" s="1"/>
  <c r="D19" i="8"/>
  <c r="D15" i="8"/>
  <c r="C19" i="8"/>
  <c r="C15" i="8"/>
  <c r="E20" i="8" l="1"/>
  <c r="E17" i="8"/>
  <c r="B88" i="8" l="1"/>
  <c r="B8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ajin.vs</author>
    <author>Ajin VS</author>
  </authors>
  <commentList>
    <comment ref="B1" authorId="0" shapeId="0" xr:uid="{00000000-0006-0000-0000-000001000000}">
      <text>
        <r>
          <rPr>
            <sz val="9"/>
            <rFont val="Times New Roman"/>
            <family val="1"/>
          </rPr>
          <t xml:space="preserve">jx:area(lastCell="I40")
</t>
        </r>
      </text>
    </comment>
    <comment ref="C10" authorId="1" shapeId="0" xr:uid="{82F01E20-1A39-4DE2-A2DE-EAAC9AB6B976}">
      <text>
        <r>
          <rPr>
            <b/>
            <sz val="9"/>
            <color indexed="81"/>
            <rFont val="Tahoma"/>
            <family val="2"/>
          </rPr>
          <t>jx:each (items="claimVO.claimSummary" var="summary" lastCell="F10" select="summary.budgetCategory.code == 'EOM'")</t>
        </r>
      </text>
    </comment>
    <comment ref="B11" authorId="1" shapeId="0" xr:uid="{4133EA53-1344-4166-A7E0-DD09F559EFB1}">
      <text>
        <r>
          <rPr>
            <b/>
            <sz val="9"/>
            <color indexed="81"/>
            <rFont val="Tahoma"/>
            <family val="2"/>
          </rPr>
          <t>jx:each(items="claimFilter.groupTransactions(claimVO.claimSummaryDetails, 'EOM')" var="transactions" groupBy="jobDescription" lastCell="I11")</t>
        </r>
      </text>
    </comment>
    <comment ref="E12" authorId="1" shapeId="0" xr:uid="{8B2F9BFA-68C4-431C-B43B-7AC7386A5A73}">
      <text>
        <r>
          <rPr>
            <b/>
            <sz val="9"/>
            <color indexed="81"/>
            <rFont val="Tahoma"/>
            <family val="2"/>
          </rPr>
          <t>jx:each (items="claimVO.claimSummary" var="summary" lastCell="E12" select="summary.budgetCategory.code == 'EOM'")</t>
        </r>
      </text>
    </comment>
    <comment ref="B14" authorId="1" shapeId="0" xr:uid="{2D18C3DB-1D7B-4355-B316-CC414F1376D8}">
      <text>
        <r>
          <rPr>
            <b/>
            <sz val="9"/>
            <color indexed="81"/>
            <rFont val="Tahoma"/>
            <family val="2"/>
          </rPr>
          <t xml:space="preserve">jx:each (items="claimVO.claimSummaryDetails" var="summary" lastCell="I14" select="summary.budgetCategory.code == 'EQT' or summary.budgetCategory.code == 'MAC'")
jx:each(items="summary.groupedTransactions" var="transaction" lastCell="I14")
jx:each(items="transaction.transactions" var="transactions" lastCell="I14")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1" shapeId="0" xr:uid="{DDF213A3-4BF1-4AB6-A3E3-E3CA346550D7}">
      <text>
        <r>
          <rPr>
            <b/>
            <sz val="9"/>
            <color indexed="81"/>
            <rFont val="Tahoma"/>
            <family val="2"/>
          </rPr>
          <t>jx:each (items="claimVO.claimSummary" var="summary" lastCell="E15" select="summary.budgetCategory.code == 'EQT'")</t>
        </r>
      </text>
    </comment>
    <comment ref="B17" authorId="1" shapeId="0" xr:uid="{5AEF8819-3DDF-4873-BB38-1C1559F4B6C5}">
      <text>
        <r>
          <rPr>
            <b/>
            <sz val="9"/>
            <color indexed="81"/>
            <rFont val="Tahoma"/>
            <family val="2"/>
          </rPr>
          <t xml:space="preserve">jx:each (items="claimVO.claimSummaryDetails" var="summary" lastCell="I17" select="summary.budgetCategory.code == 'OOE' or summary.budgetCategory.code == 'OST'")
jx:each(items="summary.groupedTransactions" var="transaction" lastCell="I17")
jx:each(items="transaction.transactions" var="transactions" lastCell="I17")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1" shapeId="0" xr:uid="{7F557A78-CBC6-4CAD-92B0-C1F02E4BD7B0}">
      <text>
        <r>
          <rPr>
            <b/>
            <sz val="9"/>
            <color indexed="81"/>
            <rFont val="Tahoma"/>
            <family val="2"/>
          </rPr>
          <t>jx:each (items="claimVO.claimSummary" var="summary" lastCell="E18" select="summary.budgetCategory.code == 'OOE'")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ajin.vs</author>
    <author>Ajin VS</author>
  </authors>
  <commentList>
    <comment ref="A1" authorId="0" shapeId="0" xr:uid="{00000000-0006-0000-0100-000001000000}">
      <text>
        <r>
          <rPr>
            <sz val="9"/>
            <rFont val="Times New Roman"/>
            <family val="1"/>
          </rPr>
          <t xml:space="preserve">jx:area(lastCell="I90")
</t>
        </r>
      </text>
    </comment>
    <comment ref="A15" authorId="1" shapeId="0" xr:uid="{0460BD60-A320-4D22-8AEE-E46E6D32CB13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lastCell="I15" select="summary.budgetCategory.code == 'EOM'")
jx:each(items="summary.groupedTransactions" var="transaction" lastCell="I15" select="transaction.manpower.decryptedCitizenShip != 'Foreigner'")
jx:each(items="transaction.transactions" var="transactions" lastCell="I15")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1" shapeId="0" xr:uid="{3D56750C-1A4E-4C34-8EB0-B1CE7B5111C5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lastCell="I19" select="summary.budgetCategory.code == 'EOM'")
jx:each(items="summary.groupedTransactions" var="transaction" lastCell="I19" select="transaction.manpower.decryptedCitizenShip == 'Foreigner'")
jx:each(items="transaction.transactions" var="transactions" lastCell="I19")</t>
        </r>
      </text>
    </comment>
    <comment ref="A32" authorId="1" shapeId="0" xr:uid="{70789174-F3AD-40E6-9E38-CE81786BD799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lastCell="H32" select="summary.budgetCategory.code == 'EQT'")
jx:each(items="summary.groupedTransactions" var="transaction" lastCell="H32")
jx:each(items="transaction.transactions" var="transactions" lastCell="H32")</t>
        </r>
      </text>
    </comment>
    <comment ref="A39" authorId="1" shapeId="0" xr:uid="{90A5DC61-3184-4C6A-B733-252E28D3F543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lastCell="H39" select="summary.budgetCategory.code == 'MAC'")
jx:each(items="summary.groupedTransactions" var="transaction" lastCell="H39")
jx:each(items="transaction.transactions" var="transactions" lastCell="H39")</t>
        </r>
      </text>
    </comment>
    <comment ref="A57" authorId="1" shapeId="0" xr:uid="{3CE42115-6071-462C-8999-592603E14EE3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lastCell="H57" select="summary.budgetCategory.code == 'OOE'")
jx:each(items="summary.groupedTransactions" var="transaction" lastCell="H57")
jx:each(items="transaction.transactions" var="transactions" lastCell="H57")</t>
        </r>
      </text>
    </comment>
    <comment ref="A64" authorId="1" shapeId="0" xr:uid="{35977FE2-9EED-4F3C-8868-4218386CF102}">
      <text>
        <r>
          <rPr>
            <b/>
            <sz val="9"/>
            <color indexed="81"/>
            <rFont val="Tahoma"/>
            <family val="2"/>
          </rPr>
          <t>jx:each (items="claimVO.claimSummaryDetails" var="summary" lastCell="H64" select="summary.budgetCategory.code == 'OST'")
jx:each(items="summary.groupedTransactions" var="transaction" lastCell="H64")
jx:each(items="transaction.transactions" var="transactions" lastCell="H64")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<sst xmlns="http://schemas.openxmlformats.org/spreadsheetml/2006/main" count="160" uniqueCount="99">
  <si>
    <t>STATEMENT OF EXPENDITURE</t>
  </si>
  <si>
    <t>Claim Form 1a</t>
  </si>
  <si>
    <t xml:space="preserve">Research Collaborator Name : </t>
  </si>
  <si>
    <t xml:space="preserve">Principal Investigator: </t>
  </si>
  <si>
    <t xml:space="preserve"> ${claimVO.claim.award.principalInvestigator}</t>
  </si>
  <si>
    <t xml:space="preserve">Claim No : </t>
  </si>
  <si>
    <t xml:space="preserve">Project Title :  </t>
  </si>
  <si>
    <t xml:space="preserve">Claim period: </t>
  </si>
  <si>
    <t>${claimVO.claimStartAndEndYear}</t>
  </si>
  <si>
    <t xml:space="preserve">Total Project cost : </t>
  </si>
  <si>
    <t>Cumulative Disbursement</t>
  </si>
  <si>
    <t>Current Request From:</t>
  </si>
  <si>
    <t>Cost Item</t>
  </si>
  <si>
    <t>Project Amount</t>
  </si>
  <si>
    <t>Actual Expenses Paid</t>
  </si>
  <si>
    <t xml:space="preserve">Amount Disbursed 
up to previous claim </t>
  </si>
  <si>
    <t>Balance of unused project amount up to previous claim</t>
  </si>
  <si>
    <t>Claim Amount</t>
  </si>
  <si>
    <t>Remarks</t>
  </si>
  <si>
    <t>$</t>
  </si>
  <si>
    <t>(a) Manpower (EOM)</t>
  </si>
  <si>
    <t xml:space="preserve"> </t>
  </si>
  <si>
    <t>Total for (a)</t>
  </si>
  <si>
    <t>(b) Equipment (EQP)</t>
  </si>
  <si>
    <t>Total for (b)</t>
  </si>
  <si>
    <t>(c) Other Operating Expenses (OOE)</t>
  </si>
  <si>
    <t>Total for (c)</t>
  </si>
  <si>
    <t>(d) Others</t>
  </si>
  <si>
    <t>Total for (d)</t>
  </si>
  <si>
    <t>GRAND TOTAL</t>
  </si>
  <si>
    <t xml:space="preserve">We hereby certify that the statement and the accompanying supporting documents are correct and according to the terms and conditions of the Research Collaboration Agreement, </t>
  </si>
  <si>
    <t xml:space="preserve">and that they have been verified to their original source documents.  We also certify that we have not sought, and will not seek, reimbursement for the </t>
  </si>
  <si>
    <t>same item of expenditure under any other incentives from any other Government agency.</t>
  </si>
  <si>
    <t>Signature (with Stamp of organization) :</t>
  </si>
  <si>
    <t>Notes to Claims:</t>
  </si>
  <si>
    <t xml:space="preserve">1. Please ensure that the totals in Form 1a must tie with figures in Form 1b.  </t>
  </si>
  <si>
    <t>2. All claims must be submitted with the progress report.</t>
  </si>
  <si>
    <t>3. Reimbursement will only be given for items paid and not for those accrued.</t>
  </si>
  <si>
    <t>BREAKDOWN OF FUND REQUEST</t>
  </si>
  <si>
    <t>Claim Form 1 b</t>
  </si>
  <si>
    <t>(a) Expenditure on Manpower (EOM)</t>
  </si>
  <si>
    <r>
      <rPr>
        <sz val="11"/>
        <rFont val="Arial"/>
        <family val="2"/>
      </rPr>
      <t xml:space="preserve">*includes </t>
    </r>
    <r>
      <rPr>
        <b/>
        <sz val="11"/>
        <rFont val="Arial"/>
        <family val="2"/>
      </rPr>
      <t>basic salary, employer's CPF contribution</t>
    </r>
    <r>
      <rPr>
        <sz val="11"/>
        <rFont val="Arial"/>
        <family val="2"/>
      </rPr>
      <t xml:space="preserve"> but excludes bonuses and all other allowances</t>
    </r>
  </si>
  <si>
    <t>Qualifying items</t>
  </si>
  <si>
    <t>Designation</t>
  </si>
  <si>
    <t xml:space="preserve">Monthly Basic </t>
  </si>
  <si>
    <t xml:space="preserve">Employer CPF </t>
  </si>
  <si>
    <t xml:space="preserve"> $</t>
  </si>
  <si>
    <t xml:space="preserve">Local manpower </t>
  </si>
  <si>
    <t xml:space="preserve">Sub-total </t>
  </si>
  <si>
    <t>Foreign manpower</t>
  </si>
  <si>
    <t>i) Equipment (Items should be itemized and categorized)</t>
  </si>
  <si>
    <r>
      <rPr>
        <sz val="11"/>
        <rFont val="Arial"/>
        <family val="2"/>
      </rPr>
      <t xml:space="preserve">- Only equipment delivered </t>
    </r>
    <r>
      <rPr>
        <u/>
        <sz val="11"/>
        <rFont val="Arial"/>
        <family val="2"/>
      </rPr>
      <t>within</t>
    </r>
    <r>
      <rPr>
        <sz val="11"/>
        <rFont val="Arial"/>
        <family val="2"/>
      </rPr>
      <t xml:space="preserve"> the Project Period are supported.</t>
    </r>
  </si>
  <si>
    <t xml:space="preserve"> For Hire Purchase, only installments paid within the project period are supportable</t>
  </si>
  <si>
    <t>- For leased equipment, only cost of leasing paid within the project period are supportable</t>
  </si>
  <si>
    <t>- Maintenance cost of equipment is not supportable.</t>
  </si>
  <si>
    <t>(h) $</t>
  </si>
  <si>
    <t>Sub-total</t>
  </si>
  <si>
    <r>
      <rPr>
        <sz val="11"/>
        <rFont val="Arial"/>
        <family val="2"/>
      </rPr>
      <t xml:space="preserve">- Only software delivered </t>
    </r>
    <r>
      <rPr>
        <u/>
        <sz val="11"/>
        <rFont val="Arial"/>
        <family val="2"/>
      </rPr>
      <t>within</t>
    </r>
    <r>
      <rPr>
        <sz val="11"/>
        <rFont val="Arial"/>
        <family val="2"/>
      </rPr>
      <t xml:space="preserve"> the Project Period are supported.</t>
    </r>
  </si>
  <si>
    <t>i) Materials &amp; Consumables (Items should be itemized and categorized)</t>
  </si>
  <si>
    <r>
      <rPr>
        <sz val="11"/>
        <rFont val="Arial"/>
        <family val="2"/>
      </rPr>
      <t xml:space="preserve"> - Only materials and consumables delivered </t>
    </r>
    <r>
      <rPr>
        <u/>
        <sz val="11"/>
        <rFont val="Arial"/>
        <family val="2"/>
      </rPr>
      <t>within</t>
    </r>
    <r>
      <rPr>
        <sz val="11"/>
        <rFont val="Arial"/>
        <family val="2"/>
      </rPr>
      <t xml:space="preserve"> the Project Period are supported.</t>
    </r>
  </si>
  <si>
    <t>(d) Professional Services</t>
  </si>
  <si>
    <r>
      <rPr>
        <sz val="11"/>
        <rFont val="Arial"/>
        <family val="2"/>
      </rPr>
      <t>- Professional services only apply to consultancy and sub-contract work from non-</t>
    </r>
    <r>
      <rPr>
        <u/>
        <sz val="11"/>
        <rFont val="Arial"/>
        <family val="2"/>
      </rPr>
      <t xml:space="preserve">related </t>
    </r>
    <r>
      <rPr>
        <sz val="11"/>
        <rFont val="Arial"/>
        <family val="2"/>
      </rPr>
      <t>parties.</t>
    </r>
  </si>
  <si>
    <t>- Professional services from a foreign company allowed only if services are not available in Singapore.</t>
  </si>
  <si>
    <t>- Audit fees are not supportable</t>
  </si>
  <si>
    <t>(m) $</t>
  </si>
  <si>
    <t>Consultancy (Local)</t>
  </si>
  <si>
    <t>Consultancy (Foreign)</t>
  </si>
  <si>
    <t>Total Direct Costs</t>
  </si>
  <si>
    <t>Total Cost</t>
  </si>
  <si>
    <t>${transactions.descriptionOfExpenditure}</t>
  </si>
  <si>
    <t>${transactions.qualifyingCost}</t>
  </si>
  <si>
    <t>${transactions.adjustedTotal}</t>
  </si>
  <si>
    <t>Date : ${claimVO.claimRSOApprovalDate}</t>
  </si>
  <si>
    <t>Expected Completion Date of Project :  ${claimVO.awardEndDate}</t>
  </si>
  <si>
    <t>Tel : ${claimVO.claim.foPhoneNumber}</t>
  </si>
  <si>
    <t>${transaction.manpowerJobDescription}</t>
  </si>
  <si>
    <t xml:space="preserve"> ${transactions.descriptionOfExpenditure}</t>
  </si>
  <si>
    <t>Period of Claim: ${claimVO.claimStartAndEndYear}</t>
  </si>
  <si>
    <t>${claimVO.claim.claimNumber}</t>
  </si>
  <si>
    <t>${claimVO.summaryCalculations.totalExpenditure.totalExpLatestApproved}</t>
  </si>
  <si>
    <t>${summary.latestApprovedBudget}</t>
  </si>
  <si>
    <t>${summary.cumClaimAmountUptoClaim}</t>
  </si>
  <si>
    <t>Director/ Finance : ${claimVO.claim.foName}</t>
  </si>
  <si>
    <t xml:space="preserve"> ${claimVO.claim.award.title}</t>
  </si>
  <si>
    <t>${aggregator.sum(transactions.items , 'qualifyingCost')}</t>
  </si>
  <si>
    <t>GST 7%</t>
  </si>
  <si>
    <t>Research Collaborator's Representative:  ${claimVO.claim.rdoName}</t>
  </si>
  <si>
    <t>Tel : ${claimVO.claim.rdoPhoneNumber}</t>
  </si>
  <si>
    <t>Date : ${claimVO.claimRDOApprovalDate}</t>
  </si>
  <si>
    <t>${aggregator.sum(transactions.items , 'adjustedTotal')}</t>
  </si>
  <si>
    <t>Nanyang Technological University</t>
  </si>
  <si>
    <t>${transactions.item.jobDescription}</t>
  </si>
  <si>
    <t xml:space="preserve">ii) Materials &amp; Consumables </t>
  </si>
  <si>
    <t>iii) Software (Items should be itemized and categorized)</t>
  </si>
  <si>
    <t>To include GST 7%</t>
  </si>
  <si>
    <t>${aggregator.sum(claimFilter.conditionedCSFilter(claimVO.claimSummary,"budgetCategoryCode", "EQT,MAC"),"latestApprovedBudget")}</t>
  </si>
  <si>
    <t>${aggregator.sum(claimFilter.conditionedCSFilter(claimVO.claimSummary,"budgetCategoryCode", "OOE,OST"),"latestApprovedBudget")}</t>
  </si>
  <si>
    <t>ii) Overseas Travel(OST)</t>
  </si>
  <si>
    <t>Overhead (${claimVO.oHPercentage}%)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</si>
</sst>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_-* #,##0_-;\-* #,##0_-;_-* &quot;-&quot;??_-;_-@_-"/>
    <numFmt numFmtId="165" formatCode="_-* #,##0.00_-;\-* #,##0.00_-;_-* &quot;-&quot;??_-;_-@_-"/>
    <numFmt numFmtId="166" formatCode="&quot;$&quot;#,##0.00"/>
    <numFmt numFmtId="167" formatCode="[$-809]d\ mmmm\ yyyy;@"/>
  </numFmts>
  <fonts count="37">
    <font>
      <sz val="10"/>
      <name val="Arial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  <font>
      <sz val="11"/>
      <color theme="5" tint="-0.249977111117893"/>
      <name val="Arial"/>
      <family val="2"/>
    </font>
    <font>
      <sz val="11"/>
      <color rgb="FF006100"/>
      <name val="Arial"/>
      <family val="2"/>
    </font>
    <font>
      <b/>
      <i/>
      <sz val="11"/>
      <color rgb="FFFF0000"/>
      <name val="Arial"/>
      <family val="2"/>
    </font>
    <font>
      <sz val="11"/>
      <color indexed="21"/>
      <name val="Arial"/>
      <family val="2"/>
    </font>
    <font>
      <sz val="11"/>
      <color indexed="36"/>
      <name val="Arial"/>
      <family val="2"/>
    </font>
    <font>
      <sz val="11"/>
      <color rgb="FFFF0000"/>
      <name val="Arial"/>
      <family val="2"/>
    </font>
    <font>
      <b/>
      <sz val="11"/>
      <color indexed="2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sz val="10"/>
      <color theme="9" tint="-0.499984740745262"/>
      <name val="Arial"/>
      <family val="2"/>
    </font>
    <font>
      <b/>
      <sz val="10"/>
      <color indexed="4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color theme="9" tint="-0.499984740745262"/>
      <name val="Arial"/>
      <family val="2"/>
    </font>
    <font>
      <b/>
      <sz val="11"/>
      <color theme="1"/>
      <name val="Arial"/>
      <family val="2"/>
    </font>
    <font>
      <b/>
      <sz val="11"/>
      <color indexed="48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lightUp">
        <bgColor indexed="9"/>
      </patternFill>
    </fill>
    <fill>
      <patternFill patternType="solid">
        <fgColor rgb="FFFFEB9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8">
    <xf numFmtId="0" fontId="0" fillId="0" borderId="0"/>
    <xf numFmtId="165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4" borderId="0" applyNumberFormat="0" applyBorder="0" applyAlignment="0" applyProtection="0"/>
    <xf numFmtId="0" fontId="24" fillId="2" borderId="0" applyNumberFormat="0" applyBorder="0" applyAlignment="0" applyProtection="0"/>
    <xf numFmtId="0" fontId="22" fillId="3" borderId="0" applyNumberFormat="0" applyBorder="0" applyAlignment="0" applyProtection="0"/>
    <xf numFmtId="0" fontId="25" fillId="7" borderId="0" applyNumberFormat="0" applyBorder="0" applyAlignment="0" applyProtection="0"/>
    <xf numFmtId="0" fontId="28" fillId="0" borderId="0"/>
  </cellStyleXfs>
  <cellXfs count="20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3" fillId="2" borderId="0" xfId="4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0" fontId="2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vertical="top" wrapText="1"/>
    </xf>
    <xf numFmtId="164" fontId="1" fillId="0" borderId="0" xfId="1" applyNumberFormat="1" applyFont="1" applyFill="1" applyAlignment="1" applyProtection="1">
      <alignment horizontal="center" vertical="top" wrapText="1"/>
    </xf>
    <xf numFmtId="164" fontId="1" fillId="0" borderId="0" xfId="1" applyNumberFormat="1" applyFont="1" applyAlignment="1" applyProtection="1">
      <alignment horizontal="center" vertical="top" wrapText="1"/>
    </xf>
    <xf numFmtId="164" fontId="1" fillId="0" borderId="0" xfId="1" applyNumberFormat="1" applyFont="1" applyAlignment="1" applyProtection="1">
      <alignment vertical="top" wrapText="1"/>
    </xf>
    <xf numFmtId="0" fontId="4" fillId="3" borderId="1" xfId="5" applyFont="1" applyBorder="1" applyAlignment="1">
      <alignment horizontal="center" vertical="center"/>
    </xf>
    <xf numFmtId="0" fontId="5" fillId="3" borderId="3" xfId="5" applyFont="1" applyBorder="1" applyAlignment="1">
      <alignment horizontal="center" vertical="center"/>
    </xf>
    <xf numFmtId="0" fontId="4" fillId="0" borderId="0" xfId="5" applyFont="1" applyFill="1" applyBorder="1" applyAlignment="1">
      <alignment vertical="center" wrapText="1"/>
    </xf>
    <xf numFmtId="0" fontId="4" fillId="0" borderId="0" xfId="5" applyFont="1" applyFill="1" applyBorder="1" applyAlignment="1">
      <alignment horizontal="center" vertical="center" wrapText="1"/>
    </xf>
    <xf numFmtId="0" fontId="4" fillId="3" borderId="4" xfId="5" applyFont="1" applyBorder="1" applyAlignment="1">
      <alignment horizontal="center"/>
    </xf>
    <xf numFmtId="0" fontId="5" fillId="3" borderId="6" xfId="5" applyFont="1" applyBorder="1" applyAlignment="1">
      <alignment horizontal="center"/>
    </xf>
    <xf numFmtId="0" fontId="4" fillId="0" borderId="0" xfId="5" applyFont="1" applyFill="1" applyBorder="1" applyAlignment="1">
      <alignment horizontal="center"/>
    </xf>
    <xf numFmtId="0" fontId="6" fillId="0" borderId="0" xfId="3" applyFont="1" applyFill="1" applyBorder="1" applyAlignment="1">
      <alignment horizontal="center"/>
    </xf>
    <xf numFmtId="0" fontId="1" fillId="5" borderId="10" xfId="0" applyFont="1" applyFill="1" applyBorder="1"/>
    <xf numFmtId="165" fontId="1" fillId="0" borderId="0" xfId="0" applyNumberFormat="1" applyFont="1" applyAlignment="1">
      <alignment horizontal="center"/>
    </xf>
    <xf numFmtId="0" fontId="6" fillId="0" borderId="0" xfId="3" applyFont="1" applyFill="1" applyBorder="1" applyAlignment="1">
      <alignment wrapText="1"/>
    </xf>
    <xf numFmtId="165" fontId="2" fillId="0" borderId="0" xfId="1" applyFont="1" applyFill="1" applyBorder="1" applyAlignment="1">
      <alignment horizontal="center"/>
    </xf>
    <xf numFmtId="0" fontId="1" fillId="5" borderId="13" xfId="0" applyFont="1" applyFill="1" applyBorder="1"/>
    <xf numFmtId="0" fontId="1" fillId="5" borderId="14" xfId="0" applyFont="1" applyFill="1" applyBorder="1"/>
    <xf numFmtId="165" fontId="2" fillId="6" borderId="14" xfId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5" fillId="0" borderId="0" xfId="5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5" applyFont="1" applyFill="1" applyBorder="1" applyAlignment="1">
      <alignment horizontal="center"/>
    </xf>
    <xf numFmtId="0" fontId="2" fillId="0" borderId="0" xfId="3" applyFont="1" applyFill="1" applyBorder="1" applyAlignment="1">
      <alignment horizontal="center"/>
    </xf>
    <xf numFmtId="43" fontId="2" fillId="0" borderId="0" xfId="0" applyNumberFormat="1" applyFont="1"/>
    <xf numFmtId="4" fontId="2" fillId="0" borderId="0" xfId="0" applyNumberFormat="1" applyFont="1"/>
    <xf numFmtId="0" fontId="8" fillId="0" borderId="0" xfId="0" applyFont="1"/>
    <xf numFmtId="0" fontId="9" fillId="0" borderId="0" xfId="5" applyFont="1" applyFill="1" applyBorder="1" applyAlignment="1">
      <alignment horizontal="center" vertical="center" wrapText="1"/>
    </xf>
    <xf numFmtId="0" fontId="4" fillId="0" borderId="0" xfId="5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5" fontId="1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4" fillId="3" borderId="17" xfId="5" applyFont="1" applyBorder="1" applyAlignment="1">
      <alignment horizontal="center" vertical="center" wrapText="1"/>
    </xf>
    <xf numFmtId="0" fontId="4" fillId="3" borderId="9" xfId="5" applyFont="1" applyBorder="1" applyAlignment="1">
      <alignment horizontal="center"/>
    </xf>
    <xf numFmtId="0" fontId="1" fillId="5" borderId="18" xfId="0" applyFont="1" applyFill="1" applyBorder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top" wrapText="1"/>
    </xf>
    <xf numFmtId="0" fontId="6" fillId="0" borderId="0" xfId="3" applyFont="1" applyFill="1" applyBorder="1" applyAlignment="1"/>
    <xf numFmtId="0" fontId="6" fillId="0" borderId="0" xfId="3" applyFont="1" applyFill="1" applyBorder="1"/>
    <xf numFmtId="9" fontId="2" fillId="0" borderId="0" xfId="2" applyFont="1" applyFill="1" applyBorder="1" applyAlignment="1">
      <alignment horizontal="center"/>
    </xf>
    <xf numFmtId="166" fontId="10" fillId="0" borderId="0" xfId="0" applyNumberFormat="1" applyFont="1"/>
    <xf numFmtId="166" fontId="2" fillId="0" borderId="0" xfId="0" applyNumberFormat="1" applyFont="1"/>
    <xf numFmtId="0" fontId="11" fillId="0" borderId="0" xfId="0" applyFont="1" applyAlignment="1">
      <alignment vertical="top" wrapText="1"/>
    </xf>
    <xf numFmtId="4" fontId="12" fillId="5" borderId="15" xfId="1" applyNumberFormat="1" applyFont="1" applyFill="1" applyBorder="1" applyAlignment="1">
      <alignment horizontal="right"/>
    </xf>
    <xf numFmtId="4" fontId="12" fillId="0" borderId="0" xfId="1" applyNumberFormat="1" applyFont="1" applyFill="1" applyBorder="1"/>
    <xf numFmtId="0" fontId="1" fillId="0" borderId="0" xfId="0" applyFont="1" applyAlignment="1">
      <alignment horizontal="left"/>
    </xf>
    <xf numFmtId="0" fontId="1" fillId="5" borderId="19" xfId="0" applyFont="1" applyFill="1" applyBorder="1"/>
    <xf numFmtId="10" fontId="1" fillId="0" borderId="0" xfId="0" applyNumberFormat="1" applyFont="1"/>
    <xf numFmtId="43" fontId="12" fillId="0" borderId="0" xfId="0" applyNumberFormat="1" applyFont="1"/>
    <xf numFmtId="10" fontId="2" fillId="0" borderId="0" xfId="0" applyNumberFormat="1" applyFont="1"/>
    <xf numFmtId="43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5" applyFont="1" applyFill="1" applyBorder="1" applyAlignment="1">
      <alignment horizontal="left"/>
    </xf>
    <xf numFmtId="0" fontId="17" fillId="0" borderId="0" xfId="5" applyFont="1" applyFill="1" applyAlignment="1"/>
    <xf numFmtId="0" fontId="17" fillId="0" borderId="0" xfId="5" applyFont="1" applyFill="1" applyBorder="1" applyAlignment="1"/>
    <xf numFmtId="0" fontId="0" fillId="0" borderId="2" xfId="0" applyBorder="1"/>
    <xf numFmtId="0" fontId="18" fillId="0" borderId="2" xfId="0" applyFont="1" applyBorder="1"/>
    <xf numFmtId="0" fontId="2" fillId="0" borderId="0" xfId="3" applyFont="1" applyFill="1" applyAlignment="1"/>
    <xf numFmtId="0" fontId="18" fillId="0" borderId="0" xfId="0" applyFont="1"/>
    <xf numFmtId="0" fontId="2" fillId="0" borderId="0" xfId="3" applyFont="1" applyFill="1"/>
    <xf numFmtId="0" fontId="2" fillId="0" borderId="0" xfId="3" applyFont="1" applyFill="1" applyBorder="1"/>
    <xf numFmtId="0" fontId="1" fillId="0" borderId="0" xfId="3" applyFont="1" applyFill="1" applyBorder="1"/>
    <xf numFmtId="167" fontId="18" fillId="0" borderId="0" xfId="0" applyNumberFormat="1" applyFont="1"/>
    <xf numFmtId="0" fontId="14" fillId="0" borderId="1" xfId="0" applyFont="1" applyBorder="1"/>
    <xf numFmtId="0" fontId="19" fillId="7" borderId="21" xfId="6" applyFont="1" applyBorder="1" applyAlignment="1">
      <alignment horizontal="center"/>
    </xf>
    <xf numFmtId="0" fontId="19" fillId="7" borderId="22" xfId="6" applyFont="1" applyBorder="1" applyAlignment="1">
      <alignment horizontal="center"/>
    </xf>
    <xf numFmtId="0" fontId="19" fillId="7" borderId="2" xfId="6" applyFont="1" applyBorder="1" applyAlignment="1">
      <alignment horizontal="center"/>
    </xf>
    <xf numFmtId="0" fontId="19" fillId="7" borderId="23" xfId="6" applyFont="1" applyBorder="1" applyAlignment="1">
      <alignment horizontal="center"/>
    </xf>
    <xf numFmtId="0" fontId="14" fillId="0" borderId="25" xfId="0" applyFont="1" applyBorder="1"/>
    <xf numFmtId="0" fontId="19" fillId="7" borderId="22" xfId="6" applyFont="1" applyBorder="1" applyAlignment="1">
      <alignment horizontal="center" wrapText="1"/>
    </xf>
    <xf numFmtId="0" fontId="19" fillId="7" borderId="2" xfId="6" applyFont="1" applyBorder="1" applyAlignment="1">
      <alignment horizontal="center" wrapText="1"/>
    </xf>
    <xf numFmtId="0" fontId="19" fillId="7" borderId="23" xfId="6" applyFont="1" applyBorder="1" applyAlignment="1">
      <alignment horizontal="center" wrapText="1"/>
    </xf>
    <xf numFmtId="0" fontId="19" fillId="7" borderId="26" xfId="6" applyFont="1" applyBorder="1" applyAlignment="1">
      <alignment horizontal="center" wrapText="1"/>
    </xf>
    <xf numFmtId="0" fontId="19" fillId="7" borderId="27" xfId="6" applyFont="1" applyBorder="1" applyAlignment="1">
      <alignment horizontal="center" wrapText="1"/>
    </xf>
    <xf numFmtId="0" fontId="19" fillId="7" borderId="7" xfId="6" applyFont="1" applyBorder="1" applyAlignment="1">
      <alignment horizontal="center"/>
    </xf>
    <xf numFmtId="0" fontId="19" fillId="7" borderId="8" xfId="6" applyFont="1" applyBorder="1" applyAlignment="1">
      <alignment horizontal="center"/>
    </xf>
    <xf numFmtId="0" fontId="19" fillId="7" borderId="5" xfId="6" applyFont="1" applyBorder="1" applyAlignment="1">
      <alignment horizontal="center"/>
    </xf>
    <xf numFmtId="0" fontId="19" fillId="7" borderId="28" xfId="6" applyFont="1" applyBorder="1" applyAlignment="1">
      <alignment horizontal="center"/>
    </xf>
    <xf numFmtId="0" fontId="0" fillId="0" borderId="25" xfId="0" applyBorder="1"/>
    <xf numFmtId="0" fontId="15" fillId="0" borderId="25" xfId="0" applyFont="1" applyBorder="1"/>
    <xf numFmtId="0" fontId="3" fillId="2" borderId="7" xfId="4" applyFont="1" applyBorder="1" applyAlignment="1">
      <alignment wrapText="1"/>
    </xf>
    <xf numFmtId="0" fontId="20" fillId="2" borderId="7" xfId="4" applyFont="1" applyBorder="1" applyAlignment="1">
      <alignment wrapText="1"/>
    </xf>
    <xf numFmtId="0" fontId="16" fillId="0" borderId="25" xfId="0" applyFont="1" applyBorder="1"/>
    <xf numFmtId="0" fontId="20" fillId="2" borderId="34" xfId="4" applyFont="1" applyBorder="1" applyAlignment="1">
      <alignment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/>
    <xf numFmtId="0" fontId="13" fillId="0" borderId="0" xfId="0" applyFont="1"/>
    <xf numFmtId="0" fontId="19" fillId="7" borderId="37" xfId="6" applyFont="1" applyBorder="1" applyAlignment="1">
      <alignment horizontal="center"/>
    </xf>
    <xf numFmtId="0" fontId="19" fillId="7" borderId="6" xfId="6" applyFont="1" applyBorder="1"/>
    <xf numFmtId="4" fontId="15" fillId="0" borderId="0" xfId="0" applyNumberFormat="1" applyFont="1"/>
    <xf numFmtId="43" fontId="15" fillId="0" borderId="0" xfId="0" applyNumberFormat="1" applyFon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16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2" fontId="0" fillId="0" borderId="0" xfId="0" applyNumberFormat="1"/>
    <xf numFmtId="0" fontId="2" fillId="0" borderId="0" xfId="0" quotePrefix="1" applyFont="1" applyAlignment="1" applyProtection="1">
      <alignment horizontal="left" vertical="top"/>
      <protection locked="0"/>
    </xf>
    <xf numFmtId="0" fontId="34" fillId="0" borderId="0" xfId="0" applyFont="1"/>
    <xf numFmtId="0" fontId="31" fillId="0" borderId="0" xfId="0" applyFont="1"/>
    <xf numFmtId="0" fontId="31" fillId="0" borderId="0" xfId="3" applyFont="1" applyFill="1"/>
    <xf numFmtId="0" fontId="2" fillId="0" borderId="40" xfId="0" applyFont="1" applyBorder="1"/>
    <xf numFmtId="0" fontId="2" fillId="0" borderId="39" xfId="0" applyFont="1" applyBorder="1" applyAlignment="1">
      <alignment horizontal="left"/>
    </xf>
    <xf numFmtId="0" fontId="1" fillId="5" borderId="39" xfId="0" applyFont="1" applyFill="1" applyBorder="1"/>
    <xf numFmtId="0" fontId="1" fillId="5" borderId="40" xfId="0" applyFont="1" applyFill="1" applyBorder="1"/>
    <xf numFmtId="165" fontId="1" fillId="5" borderId="40" xfId="0" applyNumberFormat="1" applyFont="1" applyFill="1" applyBorder="1" applyAlignment="1">
      <alignment horizontal="center"/>
    </xf>
    <xf numFmtId="0" fontId="6" fillId="4" borderId="39" xfId="3" applyFont="1" applyBorder="1" applyAlignment="1">
      <alignment wrapText="1"/>
    </xf>
    <xf numFmtId="0" fontId="6" fillId="4" borderId="40" xfId="3" applyFont="1" applyBorder="1" applyAlignment="1">
      <alignment wrapText="1"/>
    </xf>
    <xf numFmtId="0" fontId="2" fillId="0" borderId="39" xfId="0" applyFont="1" applyBorder="1"/>
    <xf numFmtId="0" fontId="4" fillId="3" borderId="25" xfId="5" applyFont="1" applyBorder="1" applyAlignment="1">
      <alignment horizontal="center"/>
    </xf>
    <xf numFmtId="0" fontId="6" fillId="4" borderId="40" xfId="3" applyFont="1" applyBorder="1" applyAlignment="1">
      <alignment horizontal="center"/>
    </xf>
    <xf numFmtId="0" fontId="6" fillId="4" borderId="39" xfId="3" applyFont="1" applyBorder="1" applyAlignment="1">
      <alignment horizontal="left"/>
    </xf>
    <xf numFmtId="0" fontId="2" fillId="4" borderId="12" xfId="3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3" borderId="41" xfId="5" applyFont="1" applyBorder="1" applyAlignment="1">
      <alignment horizontal="center"/>
    </xf>
    <xf numFmtId="0" fontId="4" fillId="3" borderId="7" xfId="5" applyFont="1" applyBorder="1" applyAlignment="1">
      <alignment horizontal="center"/>
    </xf>
    <xf numFmtId="0" fontId="4" fillId="3" borderId="21" xfId="5" applyFont="1" applyBorder="1" applyAlignment="1">
      <alignment horizontal="center" vertical="center"/>
    </xf>
    <xf numFmtId="0" fontId="4" fillId="3" borderId="22" xfId="5" applyFont="1" applyBorder="1" applyAlignment="1">
      <alignment horizontal="center" vertical="center" wrapText="1"/>
    </xf>
    <xf numFmtId="0" fontId="4" fillId="3" borderId="8" xfId="5" applyFont="1" applyBorder="1" applyAlignment="1">
      <alignment horizontal="center"/>
    </xf>
    <xf numFmtId="0" fontId="3" fillId="0" borderId="5" xfId="7" applyFont="1" applyBorder="1"/>
    <xf numFmtId="0" fontId="32" fillId="2" borderId="7" xfId="4" applyFont="1" applyBorder="1" applyAlignment="1">
      <alignment wrapText="1"/>
    </xf>
    <xf numFmtId="0" fontId="3" fillId="2" borderId="10" xfId="4" applyFont="1" applyBorder="1" applyAlignment="1">
      <alignment wrapText="1"/>
    </xf>
    <xf numFmtId="0" fontId="20" fillId="2" borderId="10" xfId="4" applyFont="1" applyBorder="1" applyAlignment="1">
      <alignment wrapText="1"/>
    </xf>
    <xf numFmtId="0" fontId="33" fillId="2" borderId="10" xfId="4" applyFont="1" applyBorder="1" applyAlignment="1">
      <alignment wrapText="1"/>
    </xf>
    <xf numFmtId="0" fontId="3" fillId="2" borderId="33" xfId="4" applyFont="1" applyBorder="1" applyAlignment="1">
      <alignment wrapText="1"/>
    </xf>
    <xf numFmtId="8" fontId="2" fillId="0" borderId="0" xfId="0" applyNumberFormat="1" applyFont="1" applyAlignment="1">
      <alignment horizontal="left"/>
    </xf>
    <xf numFmtId="0" fontId="3" fillId="2" borderId="11" xfId="4" quotePrefix="1" applyFont="1" applyBorder="1" applyAlignment="1">
      <alignment wrapText="1"/>
    </xf>
    <xf numFmtId="0" fontId="2" fillId="0" borderId="40" xfId="0" applyFont="1" applyBorder="1" applyAlignment="1">
      <alignment horizontal="right" vertical="center"/>
    </xf>
    <xf numFmtId="4" fontId="2" fillId="0" borderId="12" xfId="0" applyNumberFormat="1" applyFont="1" applyBorder="1" applyAlignment="1">
      <alignment horizontal="right" vertical="center"/>
    </xf>
    <xf numFmtId="0" fontId="2" fillId="0" borderId="4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4" fontId="28" fillId="9" borderId="40" xfId="0" applyNumberFormat="1" applyFont="1" applyFill="1" applyBorder="1" applyAlignment="1">
      <alignment horizontal="right" vertical="center"/>
    </xf>
    <xf numFmtId="4" fontId="2" fillId="0" borderId="29" xfId="0" applyNumberFormat="1" applyFont="1" applyBorder="1" applyAlignment="1">
      <alignment horizontal="right" vertical="center"/>
    </xf>
    <xf numFmtId="4" fontId="36" fillId="0" borderId="11" xfId="0" applyNumberFormat="1" applyFont="1" applyBorder="1" applyAlignment="1">
      <alignment horizontal="right" vertical="center"/>
    </xf>
    <xf numFmtId="4" fontId="2" fillId="0" borderId="30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horizontal="right" vertical="center"/>
    </xf>
    <xf numFmtId="4" fontId="2" fillId="6" borderId="27" xfId="0" applyNumberFormat="1" applyFont="1" applyFill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4" fontId="2" fillId="0" borderId="8" xfId="0" applyNumberFormat="1" applyFont="1" applyBorder="1" applyAlignment="1">
      <alignment horizontal="right" vertical="center"/>
    </xf>
    <xf numFmtId="4" fontId="1" fillId="6" borderId="31" xfId="0" applyNumberFormat="1" applyFont="1" applyFill="1" applyBorder="1" applyAlignment="1">
      <alignment horizontal="right" vertical="center"/>
    </xf>
    <xf numFmtId="4" fontId="1" fillId="2" borderId="11" xfId="0" applyNumberFormat="1" applyFont="1" applyFill="1" applyBorder="1" applyAlignment="1">
      <alignment horizontal="right" vertical="center"/>
    </xf>
    <xf numFmtId="4" fontId="35" fillId="2" borderId="29" xfId="0" applyNumberFormat="1" applyFont="1" applyFill="1" applyBorder="1" applyAlignment="1">
      <alignment horizontal="right" vertical="center"/>
    </xf>
    <xf numFmtId="4" fontId="1" fillId="2" borderId="28" xfId="0" applyNumberFormat="1" applyFont="1" applyFill="1" applyBorder="1" applyAlignment="1">
      <alignment horizontal="right" vertical="center"/>
    </xf>
    <xf numFmtId="4" fontId="1" fillId="2" borderId="29" xfId="0" applyNumberFormat="1" applyFont="1" applyFill="1" applyBorder="1" applyAlignment="1">
      <alignment horizontal="right" vertical="center"/>
    </xf>
    <xf numFmtId="4" fontId="2" fillId="6" borderId="31" xfId="0" applyNumberFormat="1" applyFont="1" applyFill="1" applyBorder="1" applyAlignment="1">
      <alignment horizontal="right" vertical="center"/>
    </xf>
    <xf numFmtId="4" fontId="31" fillId="8" borderId="29" xfId="1" applyNumberFormat="1" applyFont="1" applyFill="1" applyBorder="1" applyAlignment="1">
      <alignment horizontal="right" vertical="center"/>
    </xf>
    <xf numFmtId="4" fontId="1" fillId="6" borderId="32" xfId="0" applyNumberFormat="1" applyFont="1" applyFill="1" applyBorder="1" applyAlignment="1">
      <alignment horizontal="right" vertical="center"/>
    </xf>
    <xf numFmtId="4" fontId="1" fillId="0" borderId="11" xfId="0" applyNumberFormat="1" applyFont="1" applyBorder="1" applyAlignment="1">
      <alignment horizontal="right" vertical="center"/>
    </xf>
    <xf numFmtId="4" fontId="3" fillId="0" borderId="11" xfId="0" applyNumberFormat="1" applyFont="1" applyBorder="1" applyAlignment="1">
      <alignment horizontal="right" vertical="center"/>
    </xf>
    <xf numFmtId="4" fontId="1" fillId="2" borderId="27" xfId="0" applyNumberFormat="1" applyFont="1" applyFill="1" applyBorder="1" applyAlignment="1">
      <alignment horizontal="right" vertical="center"/>
    </xf>
    <xf numFmtId="4" fontId="35" fillId="2" borderId="26" xfId="0" applyNumberFormat="1" applyFont="1" applyFill="1" applyBorder="1" applyAlignment="1">
      <alignment horizontal="right" vertical="center"/>
    </xf>
    <xf numFmtId="4" fontId="1" fillId="2" borderId="26" xfId="0" applyNumberFormat="1" applyFont="1" applyFill="1" applyBorder="1" applyAlignment="1">
      <alignment horizontal="right" vertical="center"/>
    </xf>
    <xf numFmtId="4" fontId="1" fillId="2" borderId="35" xfId="0" applyNumberFormat="1" applyFont="1" applyFill="1" applyBorder="1" applyAlignment="1">
      <alignment horizontal="right" vertical="center"/>
    </xf>
    <xf numFmtId="4" fontId="2" fillId="0" borderId="16" xfId="0" applyNumberFormat="1" applyFont="1" applyBorder="1" applyAlignment="1">
      <alignment horizontal="left" vertical="center"/>
    </xf>
    <xf numFmtId="4" fontId="21" fillId="2" borderId="16" xfId="0" applyNumberFormat="1" applyFont="1" applyFill="1" applyBorder="1" applyAlignment="1">
      <alignment horizontal="left" vertical="center"/>
    </xf>
    <xf numFmtId="4" fontId="1" fillId="2" borderId="16" xfId="0" applyNumberFormat="1" applyFont="1" applyFill="1" applyBorder="1" applyAlignment="1">
      <alignment horizontal="left" vertical="center"/>
    </xf>
    <xf numFmtId="4" fontId="2" fillId="0" borderId="12" xfId="0" applyNumberFormat="1" applyFont="1" applyBorder="1" applyAlignment="1">
      <alignment horizontal="left" vertical="center"/>
    </xf>
    <xf numFmtId="4" fontId="2" fillId="2" borderId="37" xfId="0" applyNumberFormat="1" applyFont="1" applyFill="1" applyBorder="1" applyAlignment="1">
      <alignment horizontal="left" vertical="center" wrapText="1"/>
    </xf>
    <xf numFmtId="4" fontId="1" fillId="2" borderId="38" xfId="0" applyNumberFormat="1" applyFont="1" applyFill="1" applyBorder="1" applyAlignment="1">
      <alignment horizontal="left" vertical="center"/>
    </xf>
    <xf numFmtId="4" fontId="1" fillId="5" borderId="12" xfId="0" applyNumberFormat="1" applyFont="1" applyFill="1" applyBorder="1" applyAlignment="1">
      <alignment horizontal="right"/>
    </xf>
    <xf numFmtId="4" fontId="23" fillId="4" borderId="12" xfId="3" applyNumberFormat="1" applyBorder="1"/>
    <xf numFmtId="4" fontId="1" fillId="5" borderId="15" xfId="0" applyNumberFormat="1" applyFont="1" applyFill="1" applyBorder="1" applyAlignment="1">
      <alignment horizontal="right"/>
    </xf>
    <xf numFmtId="4" fontId="2" fillId="0" borderId="9" xfId="1" applyNumberFormat="1" applyFont="1" applyBorder="1" applyAlignment="1">
      <alignment horizontal="right" vertical="center"/>
    </xf>
    <xf numFmtId="4" fontId="1" fillId="5" borderId="20" xfId="0" applyNumberFormat="1" applyFont="1" applyFill="1" applyBorder="1" applyAlignment="1">
      <alignment horizontal="right"/>
    </xf>
    <xf numFmtId="4" fontId="2" fillId="0" borderId="40" xfId="0" applyNumberFormat="1" applyFont="1" applyBorder="1" applyAlignment="1">
      <alignment horizontal="right" vertical="center"/>
    </xf>
    <xf numFmtId="4" fontId="2" fillId="0" borderId="40" xfId="1" applyNumberFormat="1" applyFont="1" applyBorder="1" applyAlignment="1">
      <alignment horizontal="right" vertical="center"/>
    </xf>
    <xf numFmtId="4" fontId="2" fillId="0" borderId="37" xfId="0" applyNumberFormat="1" applyFont="1" applyBorder="1" applyAlignment="1">
      <alignment horizontal="left" vertical="center"/>
    </xf>
    <xf numFmtId="0" fontId="3" fillId="2" borderId="40" xfId="4" quotePrefix="1" applyFont="1" applyBorder="1" applyAlignment="1">
      <alignment wrapText="1"/>
    </xf>
    <xf numFmtId="4" fontId="31" fillId="8" borderId="42" xfId="1" applyNumberFormat="1" applyFont="1" applyFill="1" applyBorder="1" applyAlignment="1">
      <alignment horizontal="right" vertical="center"/>
    </xf>
    <xf numFmtId="4" fontId="1" fillId="0" borderId="30" xfId="0" applyNumberFormat="1" applyFont="1" applyBorder="1" applyAlignment="1">
      <alignment horizontal="right" vertical="center"/>
    </xf>
    <xf numFmtId="4" fontId="3" fillId="0" borderId="30" xfId="0" applyNumberFormat="1" applyFont="1" applyBorder="1" applyAlignment="1">
      <alignment horizontal="right" vertical="center"/>
    </xf>
    <xf numFmtId="4" fontId="2" fillId="8" borderId="29" xfId="1" applyNumberFormat="1" applyFont="1" applyFill="1" applyBorder="1" applyAlignment="1">
      <alignment horizontal="right" vertical="center"/>
    </xf>
    <xf numFmtId="0" fontId="32" fillId="10" borderId="39" xfId="4" applyFont="1" applyFill="1" applyBorder="1" applyAlignment="1">
      <alignment horizontal="left" vertical="center" wrapText="1"/>
    </xf>
    <xf numFmtId="4" fontId="1" fillId="5" borderId="15" xfId="1" applyNumberFormat="1" applyFont="1" applyFill="1" applyBorder="1" applyAlignment="1">
      <alignment horizontal="right" vertical="center"/>
    </xf>
    <xf numFmtId="0" fontId="1" fillId="5" borderId="43" xfId="0" applyFont="1" applyFill="1" applyBorder="1"/>
    <xf numFmtId="4" fontId="1" fillId="5" borderId="44" xfId="0" applyNumberFormat="1" applyFont="1" applyFill="1" applyBorder="1" applyAlignment="1">
      <alignment horizontal="right"/>
    </xf>
    <xf numFmtId="0" fontId="31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19" fillId="7" borderId="24" xfId="6" applyFont="1" applyBorder="1" applyAlignment="1">
      <alignment horizontal="center"/>
    </xf>
    <xf numFmtId="0" fontId="19" fillId="7" borderId="36" xfId="6" applyFont="1" applyBorder="1" applyAlignment="1">
      <alignment horizontal="center"/>
    </xf>
    <xf numFmtId="0" fontId="3" fillId="2" borderId="0" xfId="4" applyFont="1" applyAlignment="1">
      <alignment horizontal="left" vertical="top" wrapText="1"/>
    </xf>
    <xf numFmtId="0" fontId="3" fillId="2" borderId="0" xfId="4" applyFont="1" applyAlignment="1">
      <alignment horizontal="left" vertical="top"/>
    </xf>
    <xf numFmtId="0" fontId="6" fillId="4" borderId="19" xfId="3" applyFont="1" applyBorder="1" applyAlignment="1">
      <alignment horizontal="left"/>
    </xf>
    <xf numFmtId="0" fontId="6" fillId="4" borderId="20" xfId="3" applyFont="1" applyBorder="1" applyAlignment="1">
      <alignment horizontal="left"/>
    </xf>
    <xf numFmtId="0" fontId="6" fillId="4" borderId="39" xfId="3" applyFont="1" applyBorder="1" applyAlignment="1">
      <alignment horizontal="left"/>
    </xf>
    <xf numFmtId="0" fontId="6" fillId="4" borderId="12" xfId="3" applyFont="1" applyBorder="1" applyAlignment="1">
      <alignment horizontal="left"/>
    </xf>
  </cellXfs>
  <cellStyles count="8">
    <cellStyle name="20% - Accent1" xfId="4" builtinId="30"/>
    <cellStyle name="Bad" xfId="5" builtinId="27"/>
    <cellStyle name="Comma" xfId="1" builtinId="3"/>
    <cellStyle name="Good" xfId="3" builtinId="26"/>
    <cellStyle name="Neutral" xfId="6" builtinId="28"/>
    <cellStyle name="Normal" xfId="0" builtinId="0"/>
    <cellStyle name="Normal 3" xfId="7" xr:uid="{00000000-0005-0000-0000-000024000000}"/>
    <cellStyle name="Percent" xfId="2" builtinId="5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FFFFFF"/>
      <rgbColor rgb="00C0C0C0"/>
      <rgbColor rgb="0000FF00"/>
      <rgbColor rgb="00008000"/>
      <rgbColor rgb="000A0A0A"/>
      <rgbColor rgb="00141414"/>
      <rgbColor rgb="001E1E1E"/>
      <rgbColor rgb="00282828"/>
      <rgbColor rgb="00400000"/>
      <rgbColor rgb="00800000"/>
      <rgbColor rgb="00C0000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N37"/>
  <sheetViews>
    <sheetView topLeftCell="B13" zoomScale="115" zoomScaleNormal="115" workbookViewId="0">
      <selection activeCell="I20" sqref="I20"/>
    </sheetView>
  </sheetViews>
  <sheetFormatPr defaultColWidth="9.140625" defaultRowHeight="15" customHeight="1"/>
  <cols>
    <col min="1" max="1" width="9" hidden="1" customWidth="1"/>
    <col min="2" max="2" width="45.42578125" customWidth="1"/>
    <col min="3" max="3" width="19.85546875" customWidth="1"/>
    <col min="4" max="4" width="18.42578125" customWidth="1"/>
    <col min="5" max="5" width="17.85546875" customWidth="1"/>
    <col min="6" max="6" width="21.140625" customWidth="1"/>
    <col min="7" max="7" width="21.42578125" customWidth="1"/>
    <col min="8" max="8" width="17.85546875" customWidth="1"/>
    <col min="9" max="9" width="16.42578125" customWidth="1"/>
    <col min="10" max="10" width="10.140625" customWidth="1"/>
    <col min="11" max="11" width="10.28515625" customWidth="1"/>
    <col min="12" max="12" width="14.42578125" customWidth="1"/>
    <col min="13" max="13" width="11" customWidth="1"/>
    <col min="14" max="14" width="12.28515625" customWidth="1"/>
  </cols>
  <sheetData>
    <row r="1" spans="1:14" s="67" customFormat="1" ht="15" customHeight="1">
      <c r="B1" s="72" t="s">
        <v>0</v>
      </c>
      <c r="C1" s="73"/>
      <c r="D1" s="73"/>
      <c r="E1" s="73"/>
      <c r="F1" s="73"/>
      <c r="G1" s="73"/>
      <c r="H1" s="74" t="s">
        <v>1</v>
      </c>
      <c r="J1" s="106"/>
    </row>
    <row r="2" spans="1:14" ht="15" customHeight="1">
      <c r="B2" s="75"/>
      <c r="C2" s="75"/>
      <c r="D2" s="75"/>
      <c r="E2" s="75"/>
      <c r="F2" s="75"/>
      <c r="G2" s="76"/>
      <c r="H2" s="76"/>
    </row>
    <row r="3" spans="1:14" ht="15" customHeight="1">
      <c r="B3" s="77" t="s">
        <v>2</v>
      </c>
      <c r="C3" s="77" t="s">
        <v>90</v>
      </c>
      <c r="D3" s="77"/>
      <c r="E3" s="78"/>
      <c r="F3" s="79" t="s">
        <v>3</v>
      </c>
      <c r="G3" s="120" t="s">
        <v>4</v>
      </c>
      <c r="H3" s="78"/>
    </row>
    <row r="4" spans="1:14" ht="15" customHeight="1">
      <c r="B4" s="79" t="s">
        <v>5</v>
      </c>
      <c r="C4" s="139" t="s">
        <v>78</v>
      </c>
      <c r="F4" s="80" t="s">
        <v>6</v>
      </c>
      <c r="G4" s="79" t="s">
        <v>83</v>
      </c>
      <c r="H4" s="78"/>
    </row>
    <row r="5" spans="1:14" ht="15" customHeight="1">
      <c r="B5" s="79" t="s">
        <v>7</v>
      </c>
      <c r="C5" s="139" t="s">
        <v>8</v>
      </c>
      <c r="F5" s="81"/>
      <c r="G5" s="79"/>
      <c r="H5" s="78"/>
    </row>
    <row r="6" spans="1:14" ht="15" customHeight="1">
      <c r="B6" s="120" t="s">
        <v>9</v>
      </c>
      <c r="C6" s="145" t="s">
        <v>79</v>
      </c>
      <c r="E6" s="82"/>
      <c r="F6" s="197" t="s">
        <v>73</v>
      </c>
      <c r="G6" s="198"/>
      <c r="H6" s="198"/>
    </row>
    <row r="7" spans="1:14" s="68" customFormat="1" ht="15" customHeight="1">
      <c r="A7" s="83"/>
      <c r="B7" s="84"/>
      <c r="C7" s="85"/>
      <c r="D7" s="86"/>
      <c r="E7" s="86" t="s">
        <v>10</v>
      </c>
      <c r="F7" s="87"/>
      <c r="G7" s="199" t="s">
        <v>11</v>
      </c>
      <c r="H7" s="199"/>
      <c r="I7" s="200"/>
    </row>
    <row r="8" spans="1:14" s="68" customFormat="1" ht="45" customHeight="1">
      <c r="A8" s="88"/>
      <c r="B8" s="84" t="s">
        <v>12</v>
      </c>
      <c r="C8" s="89" t="s">
        <v>13</v>
      </c>
      <c r="D8" s="90" t="s">
        <v>14</v>
      </c>
      <c r="E8" s="89" t="s">
        <v>15</v>
      </c>
      <c r="F8" s="91" t="s">
        <v>16</v>
      </c>
      <c r="G8" s="92" t="s">
        <v>14</v>
      </c>
      <c r="H8" s="93" t="s">
        <v>17</v>
      </c>
      <c r="I8" s="107" t="s">
        <v>18</v>
      </c>
    </row>
    <row r="9" spans="1:14" s="68" customFormat="1" ht="21.75" customHeight="1">
      <c r="A9" s="88"/>
      <c r="B9" s="94"/>
      <c r="C9" s="95" t="s">
        <v>19</v>
      </c>
      <c r="D9" s="96" t="s">
        <v>19</v>
      </c>
      <c r="E9" s="95" t="s">
        <v>19</v>
      </c>
      <c r="F9" s="97" t="s">
        <v>19</v>
      </c>
      <c r="G9" s="97" t="s">
        <v>19</v>
      </c>
      <c r="H9" s="95" t="s">
        <v>19</v>
      </c>
      <c r="I9" s="108"/>
    </row>
    <row r="10" spans="1:14" ht="15" customHeight="1">
      <c r="A10" s="98"/>
      <c r="B10" s="101" t="s">
        <v>20</v>
      </c>
      <c r="C10" s="152" t="s">
        <v>80</v>
      </c>
      <c r="D10" s="153"/>
      <c r="E10" s="154"/>
      <c r="F10" s="155" t="e">
        <f>C10-E10</f>
        <v>#VALUE!</v>
      </c>
      <c r="G10" s="155"/>
      <c r="H10" s="156"/>
      <c r="I10" s="174"/>
    </row>
    <row r="11" spans="1:14" ht="15" customHeight="1">
      <c r="A11" s="98"/>
      <c r="B11" s="100" t="s">
        <v>91</v>
      </c>
      <c r="C11" s="157"/>
      <c r="D11" s="158">
        <v>0</v>
      </c>
      <c r="E11" s="159">
        <f>D11</f>
        <v>0</v>
      </c>
      <c r="F11" s="160"/>
      <c r="G11" s="158" t="s">
        <v>84</v>
      </c>
      <c r="H11" s="159" t="s">
        <v>89</v>
      </c>
      <c r="I11" s="174"/>
    </row>
    <row r="12" spans="1:14" s="69" customFormat="1" ht="15" customHeight="1">
      <c r="A12" s="99"/>
      <c r="B12" s="100" t="s">
        <v>22</v>
      </c>
      <c r="C12" s="161"/>
      <c r="D12" s="162">
        <f>SUM(D11:D11)</f>
        <v>0</v>
      </c>
      <c r="E12" s="163" t="s">
        <v>81</v>
      </c>
      <c r="F12" s="163"/>
      <c r="G12" s="164">
        <f xml:space="preserve"> SUM(G11:G11)</f>
        <v>0</v>
      </c>
      <c r="H12" s="164">
        <f xml:space="preserve"> SUM(H11:H11)</f>
        <v>0</v>
      </c>
      <c r="I12" s="175"/>
      <c r="J12" s="109"/>
      <c r="K12" s="110"/>
      <c r="L12" s="111"/>
      <c r="M12" s="111"/>
      <c r="N12" s="111"/>
    </row>
    <row r="13" spans="1:14" ht="15" customHeight="1">
      <c r="A13" s="98"/>
      <c r="B13" s="101" t="s">
        <v>23</v>
      </c>
      <c r="C13" s="152" t="s">
        <v>95</v>
      </c>
      <c r="D13" s="158"/>
      <c r="E13" s="156"/>
      <c r="F13" s="155" t="e">
        <f>C13-E13</f>
        <v>#VALUE!</v>
      </c>
      <c r="G13" s="158"/>
      <c r="H13" s="159"/>
      <c r="I13" s="174"/>
      <c r="L13" s="111"/>
      <c r="M13" s="111"/>
      <c r="N13" s="111"/>
    </row>
    <row r="14" spans="1:14" ht="15" customHeight="1">
      <c r="A14" s="98"/>
      <c r="B14" s="140" t="s">
        <v>69</v>
      </c>
      <c r="C14" s="165"/>
      <c r="D14" s="166">
        <v>0</v>
      </c>
      <c r="E14" s="156">
        <f>D14</f>
        <v>0</v>
      </c>
      <c r="F14" s="167"/>
      <c r="G14" s="192" t="s">
        <v>70</v>
      </c>
      <c r="H14" s="159" t="s">
        <v>71</v>
      </c>
      <c r="I14" s="174"/>
      <c r="L14" s="111"/>
      <c r="M14" s="111"/>
      <c r="N14" s="111"/>
    </row>
    <row r="15" spans="1:14" s="70" customFormat="1" ht="15" customHeight="1">
      <c r="A15" s="102"/>
      <c r="B15" s="141" t="s">
        <v>24</v>
      </c>
      <c r="C15" s="161"/>
      <c r="D15" s="162">
        <f>SUM(D14:D14)</f>
        <v>0</v>
      </c>
      <c r="E15" s="163" t="s">
        <v>81</v>
      </c>
      <c r="F15" s="163"/>
      <c r="G15" s="164">
        <f>SUM(G14:G14)</f>
        <v>0</v>
      </c>
      <c r="H15" s="164">
        <f>SUM(H14:H14)</f>
        <v>0</v>
      </c>
      <c r="I15" s="176"/>
      <c r="L15" s="111"/>
      <c r="M15" s="111"/>
      <c r="N15" s="111"/>
    </row>
    <row r="16" spans="1:14" ht="15" customHeight="1">
      <c r="A16" s="98"/>
      <c r="B16" s="142" t="s">
        <v>25</v>
      </c>
      <c r="C16" s="152" t="s">
        <v>96</v>
      </c>
      <c r="D16" s="153"/>
      <c r="E16" s="156"/>
      <c r="F16" s="155" t="e">
        <f>C16-E16</f>
        <v>#VALUE!</v>
      </c>
      <c r="G16" s="153"/>
      <c r="H16" s="156"/>
      <c r="I16" s="174"/>
      <c r="L16" s="112"/>
      <c r="M16" s="112"/>
      <c r="N16" s="112"/>
    </row>
    <row r="17" spans="1:14" ht="15" customHeight="1">
      <c r="A17" s="98"/>
      <c r="B17" s="140" t="s">
        <v>69</v>
      </c>
      <c r="C17" s="165"/>
      <c r="D17" s="166">
        <v>0</v>
      </c>
      <c r="E17" s="156">
        <f>D17</f>
        <v>0</v>
      </c>
      <c r="F17" s="160"/>
      <c r="G17" s="153" t="s">
        <v>70</v>
      </c>
      <c r="H17" s="159" t="s">
        <v>71</v>
      </c>
      <c r="I17" s="174"/>
      <c r="L17" s="112"/>
      <c r="M17" s="112"/>
      <c r="N17" s="112"/>
    </row>
    <row r="18" spans="1:14" s="70" customFormat="1" ht="15" customHeight="1">
      <c r="A18" s="102"/>
      <c r="B18" s="141" t="s">
        <v>26</v>
      </c>
      <c r="C18" s="161"/>
      <c r="D18" s="162">
        <f>SUM(D17:D17)</f>
        <v>0</v>
      </c>
      <c r="E18" s="163" t="s">
        <v>81</v>
      </c>
      <c r="F18" s="163"/>
      <c r="G18" s="164">
        <f>SUM(G17:G17)</f>
        <v>0</v>
      </c>
      <c r="H18" s="164">
        <f>SUM(H17:H17)</f>
        <v>0</v>
      </c>
      <c r="I18" s="176"/>
      <c r="J18" s="113" t="s">
        <v>21</v>
      </c>
      <c r="L18" s="104"/>
      <c r="M18" s="104"/>
      <c r="N18" s="104"/>
    </row>
    <row r="19" spans="1:14" ht="15" customHeight="1">
      <c r="A19" s="98"/>
      <c r="B19" s="143" t="s">
        <v>27</v>
      </c>
      <c r="C19" s="152"/>
      <c r="D19" s="153"/>
      <c r="E19" s="156"/>
      <c r="F19" s="155"/>
      <c r="G19" s="153"/>
      <c r="H19" s="156"/>
      <c r="I19" s="174"/>
      <c r="L19" s="112"/>
      <c r="M19" s="112"/>
      <c r="N19" s="112"/>
    </row>
    <row r="20" spans="1:14" ht="15" customHeight="1">
      <c r="A20" s="98"/>
      <c r="B20" s="146" t="s">
        <v>98</v>
      </c>
      <c r="C20" s="156" cm="1">
        <f t="array" aca="1" ref="C20" ca="1">ROUND(SUM(C10,C13,C16,C19)*SUMPRODUCT(MID(0&amp;B20, LARGE(INDEX(ISNUMBER(--MID(B20, ROW(INDIRECT("1:"&amp;LEN(B20))), 1)) * ROW(INDIRECT("1:"&amp;LEN(B20))), 0), ROW(INDIRECT("1:"&amp;LEN(B20))))+1, 1) * 10^ROW(INDIRECT("1:"&amp;LEN(B20)))/10)%, 2)</f>
        <v>0</v>
      </c>
      <c r="D20" s="166" cm="1">
        <f t="array" aca="1" ref="D20" ca="1">ROUND(SUM(D12,D15,D18)*SUMPRODUCT(MID(0&amp;B20, LARGE(INDEX(ISNUMBER(--MID(B20, ROW(INDIRECT("1:"&amp;LEN(B20))), 1)) * ROW(INDIRECT("1:"&amp;LEN(B20))), 0), ROW(INDIRECT("1:"&amp;LEN(B20))))+1, 1) * 10^ROW(INDIRECT("1:"&amp;LEN(B20)))/10)%, 2)</f>
        <v>0</v>
      </c>
      <c r="E20" s="156" cm="1">
        <f t="array" aca="1" ref="E20" ca="1">ROUND(SUM(E12,E15,E18)*SUMPRODUCT(MID(0&amp;B20, LARGE(INDEX(ISNUMBER(--MID(B20, ROW(INDIRECT("1:"&amp;LEN(B20))), 1)) * ROW(INDIRECT("1:"&amp;LEN(B20))), 0), ROW(INDIRECT("1:"&amp;LEN(B20))))+1, 1) * 10^ROW(INDIRECT("1:"&amp;LEN(B20)))/10)%, 2)</f>
        <v>0</v>
      </c>
      <c r="F20" s="168" t="e" cm="1">
        <f t="array" aca="1" ref="F20" ca="1">ROUND(SUM(F10,F13,F16,F19)*SUMPRODUCT(MID(0&amp;B20, LARGE(INDEX(ISNUMBER(--MID(B20, ROW(INDIRECT("1:"&amp;LEN(B20))), 1)) * ROW(INDIRECT("1:"&amp;LEN(B20))), 0), ROW(INDIRECT("1:"&amp;LEN(B20))))+1, 1) * 10^ROW(INDIRECT("1:"&amp;LEN(B20)))/10)%, 2)</f>
        <v>#VALUE!</v>
      </c>
      <c r="G20" s="155" cm="1">
        <f t="array" aca="1" ref="G20" ca="1">SUMPRODUCT(MID(0&amp;B20, LARGE(INDEX(ISNUMBER(--MID(B20, ROW(INDIRECT("1:"&amp;LEN(B20))), 1)) * ROW(INDIRECT("1:"&amp;LEN(B20))), 0), ROW(INDIRECT("1:"&amp;LEN(B20))))+1, 1) * 10^ROW(INDIRECT("1:"&amp;LEN(B20)))/10)%*(G12+G15+G18)</f>
        <v>0</v>
      </c>
      <c r="H20" s="169" cm="1">
        <f t="array" aca="1" ref="H20" ca="1">ROUND(SUM(H12,H15,H18)*SUMPRODUCT(MID(0&amp;B20, LARGE(INDEX(ISNUMBER(--MID(B20, ROW(INDIRECT("1:"&amp;LEN(B20))), 1)) * ROW(INDIRECT("1:"&amp;LEN(B20))), 0), ROW(INDIRECT("1:"&amp;LEN(B20))))+1, 1) * 10^ROW(INDIRECT("1:"&amp;LEN(B20)))/10)%, 2)</f>
        <v>0</v>
      </c>
      <c r="I20" s="177"/>
      <c r="L20" s="114"/>
      <c r="M20" s="112"/>
      <c r="N20" s="114"/>
    </row>
    <row r="21" spans="1:14" ht="15" customHeight="1">
      <c r="A21" s="98"/>
      <c r="B21" s="188" t="s">
        <v>85</v>
      </c>
      <c r="C21" s="185">
        <f ca="1">ROUND(SUM(C10,C13,C16,C19,C20)*7%, 2)</f>
        <v>0</v>
      </c>
      <c r="D21" s="189">
        <f ca="1">ROUND(SUM(D12,D15,D18,D20)*7%, 2)</f>
        <v>0</v>
      </c>
      <c r="E21" s="155">
        <f ca="1">ROUND(SUM(E12,E15,E18,E20)*7%, 2)</f>
        <v>0</v>
      </c>
      <c r="F21" s="190" t="e">
        <f>ROUND(SUM(F10,F13,F16,F19,F20)*7%, 2)</f>
        <v>#VALUE!</v>
      </c>
      <c r="G21" s="155">
        <f ca="1">ROUND(SUM(G12,G15,G18,G20)*7%, 2)</f>
        <v>0</v>
      </c>
      <c r="H21" s="191">
        <f ca="1">ROUND(SUM(H12,H15,H18,H20)*7%, 2)</f>
        <v>0</v>
      </c>
      <c r="I21" s="187"/>
      <c r="L21" s="114"/>
      <c r="M21" s="112"/>
      <c r="N21" s="114"/>
    </row>
    <row r="22" spans="1:14" ht="15" customHeight="1">
      <c r="A22" s="98"/>
      <c r="B22" s="144" t="s">
        <v>28</v>
      </c>
      <c r="C22" s="170"/>
      <c r="D22" s="171">
        <f ca="1">SUM(D20:D21)</f>
        <v>0</v>
      </c>
      <c r="E22" s="171"/>
      <c r="F22" s="163"/>
      <c r="G22" s="172">
        <f ca="1">SUM(G20:G21)</f>
        <v>0</v>
      </c>
      <c r="H22" s="172">
        <f ca="1">SUM(H20:H21)</f>
        <v>0</v>
      </c>
      <c r="I22" s="178" t="s">
        <v>21</v>
      </c>
      <c r="J22" s="115"/>
    </row>
    <row r="23" spans="1:14" s="70" customFormat="1" ht="15" customHeight="1">
      <c r="A23" s="102"/>
      <c r="B23" s="103" t="s">
        <v>29</v>
      </c>
      <c r="C23" s="173">
        <f ca="1">SUM(C10,C13,C16,C20,C21)</f>
        <v>0</v>
      </c>
      <c r="D23" s="173">
        <f ca="1">D12+D15+D18+D22</f>
        <v>0</v>
      </c>
      <c r="E23" s="173">
        <f ca="1">SUM(E12,E15,E18,E20,E21)</f>
        <v>0</v>
      </c>
      <c r="F23" s="173" t="e">
        <f>SUM(F10,F13,F16,F20,F21)</f>
        <v>#VALUE!</v>
      </c>
      <c r="G23" s="173">
        <f ca="1">G12+G15+G22+G18</f>
        <v>0</v>
      </c>
      <c r="H23" s="173">
        <f ca="1">H12+H15+H18+H22</f>
        <v>0</v>
      </c>
      <c r="I23" s="179"/>
      <c r="J23" s="113"/>
      <c r="L23" s="111"/>
      <c r="M23" s="111"/>
      <c r="N23" s="111"/>
    </row>
    <row r="24" spans="1:14" s="70" customFormat="1" ht="15" customHeight="1">
      <c r="B24" s="104"/>
      <c r="C24" s="105"/>
    </row>
    <row r="25" spans="1:14" ht="15" customHeight="1">
      <c r="B25" s="71"/>
      <c r="C25" s="71"/>
      <c r="D25" s="71"/>
      <c r="E25" s="71"/>
      <c r="F25" s="71"/>
      <c r="G25" s="71"/>
      <c r="H25" s="71"/>
      <c r="I25" s="71"/>
      <c r="J25" s="71"/>
    </row>
    <row r="26" spans="1:14" s="71" customFormat="1" ht="15" customHeight="1">
      <c r="B26" s="71" t="s">
        <v>30</v>
      </c>
    </row>
    <row r="27" spans="1:14" s="71" customFormat="1" ht="15" customHeight="1">
      <c r="B27" s="71" t="s">
        <v>31</v>
      </c>
      <c r="L27" s="116"/>
      <c r="M27" s="116"/>
      <c r="N27" s="116"/>
    </row>
    <row r="28" spans="1:14" s="71" customFormat="1" ht="15" customHeight="1">
      <c r="B28" s="71" t="s">
        <v>32</v>
      </c>
    </row>
    <row r="29" spans="1:14" s="71" customFormat="1" ht="15" customHeight="1"/>
    <row r="30" spans="1:14" s="71" customFormat="1" ht="15" customHeight="1"/>
    <row r="31" spans="1:14" s="71" customFormat="1" ht="15" customHeight="1"/>
    <row r="32" spans="1:14" s="71" customFormat="1" ht="15" customHeight="1"/>
    <row r="33" spans="2:10" s="71" customFormat="1" ht="15" customHeight="1">
      <c r="B33" s="71" t="s">
        <v>33</v>
      </c>
      <c r="F33" s="71" t="s">
        <v>33</v>
      </c>
      <c r="I33" s="71" t="s">
        <v>21</v>
      </c>
    </row>
    <row r="34" spans="2:10" s="71" customFormat="1" ht="15" customHeight="1">
      <c r="B34" s="71" t="s">
        <v>86</v>
      </c>
      <c r="F34" s="71" t="s">
        <v>82</v>
      </c>
      <c r="G34" s="118"/>
    </row>
    <row r="35" spans="2:10" s="71" customFormat="1" ht="15" customHeight="1">
      <c r="B35" s="71" t="s">
        <v>88</v>
      </c>
      <c r="F35" s="71" t="s">
        <v>72</v>
      </c>
    </row>
    <row r="36" spans="2:10" s="71" customFormat="1" ht="15" customHeight="1">
      <c r="B36" s="71" t="s">
        <v>87</v>
      </c>
      <c r="F36" s="118" t="s">
        <v>74</v>
      </c>
      <c r="I36" s="71" t="s">
        <v>21</v>
      </c>
    </row>
    <row r="37" spans="2:10" ht="15" customHeight="1">
      <c r="B37" s="71"/>
      <c r="C37" s="71"/>
      <c r="D37" s="71"/>
      <c r="E37" s="71"/>
      <c r="F37" s="71"/>
      <c r="G37" s="71"/>
      <c r="H37" s="71"/>
      <c r="I37" s="71"/>
      <c r="J37" s="71"/>
    </row>
  </sheetData>
  <mergeCells count="2">
    <mergeCell ref="F6:H6"/>
    <mergeCell ref="G7:I7"/>
  </mergeCells>
  <conditionalFormatting sqref="B10:I21">
    <cfRule type="containsBlanks" dxfId="6" priority="1">
      <formula>LEN(TRIM(B10))=0</formula>
    </cfRule>
  </conditionalFormatting>
  <pageMargins left="0.72" right="0.28000000000000003" top="0.27" bottom="0" header="0.22" footer="0"/>
  <pageSetup paperSize="9" scale="73" orientation="landscape" cellComments="asDisplayed" r:id="rId1"/>
  <headerFooter alignWithMargins="0">
    <oddFooter>&amp;RRev: Jan 09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97"/>
  <sheetViews>
    <sheetView tabSelected="1" topLeftCell="A78" zoomScaleSheetLayoutView="70" workbookViewId="0">
      <selection activeCell="B87" sqref="B87"/>
    </sheetView>
  </sheetViews>
  <sheetFormatPr defaultColWidth="9.140625" defaultRowHeight="15" customHeight="1"/>
  <cols>
    <col min="1" max="1" width="41.42578125" style="3" customWidth="1"/>
    <col min="2" max="2" width="27" style="3" customWidth="1"/>
    <col min="3" max="3" width="11.85546875" style="3" customWidth="1"/>
    <col min="4" max="4" width="13.85546875" style="3" customWidth="1"/>
    <col min="5" max="5" width="37.42578125" style="3" customWidth="1"/>
    <col min="6" max="6" width="14.140625" style="3" customWidth="1"/>
    <col min="7" max="7" width="15.28515625" style="3" customWidth="1"/>
    <col min="8" max="8" width="20.85546875" style="3" customWidth="1"/>
    <col min="9" max="9" width="20.42578125" style="3" customWidth="1"/>
    <col min="10" max="10" width="10.28515625" style="3" customWidth="1"/>
    <col min="11" max="16384" width="9.140625" style="3"/>
  </cols>
  <sheetData>
    <row r="1" spans="1:11" ht="15" customHeight="1">
      <c r="A1" s="7" t="s">
        <v>34</v>
      </c>
      <c r="B1" s="7"/>
      <c r="C1" s="7"/>
      <c r="D1" s="7"/>
      <c r="E1" s="7"/>
      <c r="F1" s="7"/>
      <c r="G1" s="7"/>
      <c r="H1" s="7"/>
    </row>
    <row r="2" spans="1:11" ht="15" customHeight="1">
      <c r="A2" s="201" t="s">
        <v>35</v>
      </c>
      <c r="B2" s="201"/>
      <c r="C2" s="201"/>
      <c r="D2" s="201"/>
      <c r="E2" s="201"/>
      <c r="F2" s="201"/>
      <c r="G2" s="201"/>
      <c r="H2" s="201"/>
    </row>
    <row r="3" spans="1:11" ht="15" customHeight="1">
      <c r="A3" s="201" t="s">
        <v>36</v>
      </c>
      <c r="B3" s="201"/>
      <c r="C3" s="201"/>
      <c r="D3" s="201"/>
      <c r="E3" s="201"/>
      <c r="F3" s="201"/>
      <c r="G3" s="201"/>
      <c r="H3" s="201"/>
    </row>
    <row r="4" spans="1:11" ht="15" customHeight="1">
      <c r="A4" s="202" t="s">
        <v>37</v>
      </c>
      <c r="B4" s="202"/>
      <c r="C4" s="202"/>
      <c r="D4" s="202"/>
      <c r="E4" s="202"/>
      <c r="F4" s="202"/>
      <c r="G4" s="202"/>
      <c r="H4" s="202"/>
    </row>
    <row r="5" spans="1:11" ht="15" customHeight="1">
      <c r="A5" s="8"/>
      <c r="B5" s="8"/>
      <c r="C5" s="8"/>
      <c r="D5" s="8"/>
      <c r="E5" s="8"/>
      <c r="F5" s="8"/>
      <c r="G5" s="8"/>
      <c r="H5" s="8"/>
    </row>
    <row r="6" spans="1:11" ht="15" customHeight="1">
      <c r="A6" s="1" t="s">
        <v>38</v>
      </c>
      <c r="F6" s="1"/>
      <c r="H6" s="9" t="s">
        <v>39</v>
      </c>
    </row>
    <row r="7" spans="1:11" ht="15" customHeight="1">
      <c r="A7" s="3" t="s">
        <v>77</v>
      </c>
    </row>
    <row r="9" spans="1:11" ht="15" customHeight="1">
      <c r="A9" s="1" t="s">
        <v>40</v>
      </c>
    </row>
    <row r="10" spans="1:11" s="1" customFormat="1" ht="15" customHeight="1">
      <c r="A10" s="10"/>
      <c r="C10" s="11"/>
      <c r="D10" s="12"/>
      <c r="E10" s="13"/>
      <c r="F10" s="14"/>
      <c r="G10" s="13"/>
      <c r="I10" s="3"/>
    </row>
    <row r="11" spans="1:11" s="1" customFormat="1" ht="15" customHeight="1" thickBot="1">
      <c r="A11" s="10" t="s">
        <v>41</v>
      </c>
      <c r="C11" s="11"/>
      <c r="D11" s="12"/>
      <c r="E11" s="13"/>
      <c r="F11" s="14"/>
      <c r="G11" s="13"/>
      <c r="I11" s="3"/>
    </row>
    <row r="12" spans="1:11" s="2" customFormat="1" ht="28.5">
      <c r="A12" s="136" t="s">
        <v>42</v>
      </c>
      <c r="B12" s="137" t="s">
        <v>43</v>
      </c>
      <c r="C12" s="137" t="s">
        <v>44</v>
      </c>
      <c r="D12" s="137" t="s">
        <v>45</v>
      </c>
      <c r="E12" s="16" t="s">
        <v>14</v>
      </c>
      <c r="F12" s="17"/>
      <c r="G12" s="18"/>
      <c r="H12" s="18"/>
      <c r="I12" s="33"/>
      <c r="J12" s="34" t="s">
        <v>21</v>
      </c>
    </row>
    <row r="13" spans="1:11" ht="15" customHeight="1">
      <c r="A13" s="135"/>
      <c r="B13" s="138"/>
      <c r="C13" s="138" t="s">
        <v>19</v>
      </c>
      <c r="D13" s="138" t="s">
        <v>19</v>
      </c>
      <c r="E13" s="20" t="s">
        <v>46</v>
      </c>
      <c r="F13" s="21"/>
      <c r="G13" s="21"/>
      <c r="H13" s="21"/>
      <c r="I13" s="35"/>
    </row>
    <row r="14" spans="1:11" ht="15" customHeight="1">
      <c r="A14" s="131" t="s">
        <v>47</v>
      </c>
      <c r="B14" s="130"/>
      <c r="C14" s="130"/>
      <c r="D14" s="130"/>
      <c r="E14" s="132"/>
      <c r="F14" s="22"/>
      <c r="G14" s="22"/>
      <c r="H14" s="22"/>
      <c r="I14" s="36"/>
      <c r="K14" s="37" t="s">
        <v>21</v>
      </c>
    </row>
    <row r="15" spans="1:11" ht="15" customHeight="1">
      <c r="A15" s="193" t="s">
        <v>69</v>
      </c>
      <c r="B15" s="149" t="s">
        <v>75</v>
      </c>
      <c r="C15" s="185" t="str">
        <f>IF(A15="Monthly Rate",E15,"")</f>
        <v/>
      </c>
      <c r="D15" s="185" t="str">
        <f>IF(A15="Employer CPF",E15,"")</f>
        <v/>
      </c>
      <c r="E15" s="148" t="s">
        <v>70</v>
      </c>
      <c r="I15" s="38"/>
      <c r="J15" s="39"/>
    </row>
    <row r="16" spans="1:11" ht="15" customHeight="1">
      <c r="A16" s="122"/>
      <c r="B16" s="121"/>
      <c r="C16" s="147"/>
      <c r="D16" s="147"/>
      <c r="E16" s="148"/>
      <c r="J16" s="39"/>
    </row>
    <row r="17" spans="1:10" ht="15" customHeight="1">
      <c r="A17" s="123" t="s">
        <v>48</v>
      </c>
      <c r="B17" s="124"/>
      <c r="C17" s="125" t="s">
        <v>21</v>
      </c>
      <c r="D17" s="125"/>
      <c r="E17" s="180">
        <f>SUM(E15:E16)</f>
        <v>0</v>
      </c>
      <c r="F17" s="24"/>
      <c r="G17" s="24"/>
      <c r="H17" s="24"/>
      <c r="I17" s="24"/>
      <c r="J17" s="37" t="s">
        <v>21</v>
      </c>
    </row>
    <row r="18" spans="1:10" ht="15" customHeight="1">
      <c r="A18" s="126" t="s">
        <v>49</v>
      </c>
      <c r="B18" s="127"/>
      <c r="C18" s="127"/>
      <c r="D18" s="127"/>
      <c r="E18" s="181"/>
      <c r="F18" s="25"/>
      <c r="G18" s="25"/>
      <c r="H18" s="25"/>
      <c r="I18" s="22"/>
    </row>
    <row r="19" spans="1:10" ht="15" customHeight="1">
      <c r="A19" s="150" t="s">
        <v>69</v>
      </c>
      <c r="B19" s="149" t="s">
        <v>75</v>
      </c>
      <c r="C19" s="186" t="str">
        <f>IF(A19="Monthly Rate",E19,"")</f>
        <v/>
      </c>
      <c r="D19" s="186" t="str">
        <f>IF(A19="Employer CPF",E19,"")</f>
        <v/>
      </c>
      <c r="E19" s="148" t="s">
        <v>70</v>
      </c>
      <c r="F19" s="26"/>
      <c r="G19" s="26"/>
      <c r="H19" s="26"/>
      <c r="I19" s="26"/>
    </row>
    <row r="20" spans="1:10" ht="15" customHeight="1" thickBot="1">
      <c r="A20" s="27" t="s">
        <v>48</v>
      </c>
      <c r="B20" s="28"/>
      <c r="C20" s="28"/>
      <c r="D20" s="29"/>
      <c r="E20" s="182">
        <f>SUM(E19:E19)</f>
        <v>0</v>
      </c>
      <c r="F20" s="26"/>
      <c r="G20" s="26"/>
      <c r="I20" s="26"/>
    </row>
    <row r="21" spans="1:10" ht="15" customHeight="1">
      <c r="A21" s="30"/>
      <c r="B21" s="31"/>
      <c r="C21" s="31"/>
      <c r="D21" s="31"/>
      <c r="E21" s="31"/>
      <c r="F21" s="31"/>
    </row>
    <row r="23" spans="1:10" ht="15" customHeight="1">
      <c r="A23" s="1" t="s">
        <v>23</v>
      </c>
    </row>
    <row r="24" spans="1:10" ht="15" customHeight="1">
      <c r="A24" s="1"/>
    </row>
    <row r="25" spans="1:10" ht="15" customHeight="1">
      <c r="A25" s="119" t="s">
        <v>50</v>
      </c>
    </row>
    <row r="26" spans="1:10" ht="15" customHeight="1">
      <c r="A26" s="117" t="s">
        <v>51</v>
      </c>
      <c r="B26" s="4"/>
      <c r="C26" s="32"/>
      <c r="D26" s="13"/>
      <c r="E26" s="13"/>
      <c r="F26" s="14"/>
      <c r="G26" s="13"/>
    </row>
    <row r="27" spans="1:10" ht="15" customHeight="1">
      <c r="A27" s="10" t="s">
        <v>52</v>
      </c>
      <c r="B27" s="4"/>
      <c r="C27" s="32"/>
      <c r="D27" s="13"/>
      <c r="E27" s="13"/>
      <c r="F27" s="14"/>
      <c r="G27" s="13"/>
    </row>
    <row r="28" spans="1:10" ht="15" customHeight="1">
      <c r="A28" s="117" t="s">
        <v>53</v>
      </c>
      <c r="B28" s="4"/>
      <c r="C28" s="32"/>
      <c r="D28" s="13"/>
      <c r="E28" s="13"/>
      <c r="F28" s="14"/>
      <c r="G28" s="13"/>
    </row>
    <row r="29" spans="1:10" ht="15" customHeight="1" thickBot="1">
      <c r="A29" s="117" t="s">
        <v>54</v>
      </c>
      <c r="B29" s="4"/>
      <c r="C29" s="32"/>
      <c r="D29" s="13"/>
      <c r="E29" s="13"/>
      <c r="F29" s="14"/>
      <c r="G29" s="13"/>
    </row>
    <row r="30" spans="1:10" s="4" customFormat="1" ht="15" customHeight="1">
      <c r="A30" s="15" t="s">
        <v>42</v>
      </c>
      <c r="B30" s="45" t="s">
        <v>14</v>
      </c>
      <c r="D30" s="40"/>
      <c r="E30" s="41"/>
      <c r="F30" s="3" t="s">
        <v>21</v>
      </c>
    </row>
    <row r="31" spans="1:10" s="4" customFormat="1" ht="15" customHeight="1">
      <c r="A31" s="19"/>
      <c r="B31" s="134" t="s">
        <v>55</v>
      </c>
      <c r="D31" s="21"/>
      <c r="E31" s="21"/>
      <c r="F31" s="5"/>
    </row>
    <row r="32" spans="1:10" s="4" customFormat="1" ht="15" customHeight="1">
      <c r="A32" s="150" t="s">
        <v>76</v>
      </c>
      <c r="B32" s="148" t="s">
        <v>70</v>
      </c>
      <c r="D32" s="26"/>
      <c r="E32" s="26"/>
      <c r="F32" s="42"/>
    </row>
    <row r="33" spans="1:8" s="2" customFormat="1" ht="15" customHeight="1" thickBot="1">
      <c r="A33" s="27" t="s">
        <v>56</v>
      </c>
      <c r="B33" s="194">
        <f>SUM(B32:B32)</f>
        <v>0</v>
      </c>
      <c r="D33" s="43"/>
      <c r="E33" s="43"/>
    </row>
    <row r="34" spans="1:8" ht="15" customHeight="1">
      <c r="A34" s="1"/>
      <c r="B34" s="31"/>
      <c r="C34" s="31"/>
      <c r="D34" s="31"/>
      <c r="E34" s="31"/>
    </row>
    <row r="35" spans="1:8" ht="15" customHeight="1">
      <c r="A35" s="44" t="s">
        <v>92</v>
      </c>
      <c r="B35" s="31"/>
      <c r="C35" s="31"/>
      <c r="D35" s="31"/>
      <c r="E35" s="31"/>
    </row>
    <row r="36" spans="1:8" ht="15" customHeight="1" thickBot="1">
      <c r="A36" s="44"/>
      <c r="B36" s="31"/>
      <c r="C36" s="31"/>
      <c r="D36" s="31"/>
      <c r="E36" s="31"/>
    </row>
    <row r="37" spans="1:8" ht="15" customHeight="1">
      <c r="A37" s="15" t="s">
        <v>42</v>
      </c>
      <c r="B37" s="45" t="s">
        <v>14</v>
      </c>
      <c r="C37" s="31"/>
      <c r="D37" s="31"/>
      <c r="E37" s="31"/>
    </row>
    <row r="38" spans="1:8" ht="15" customHeight="1">
      <c r="A38" s="19"/>
      <c r="B38" s="134" t="s">
        <v>55</v>
      </c>
      <c r="C38" s="31"/>
      <c r="D38" s="31"/>
      <c r="E38" s="31"/>
    </row>
    <row r="39" spans="1:8" ht="15" customHeight="1">
      <c r="A39" s="151" t="s">
        <v>76</v>
      </c>
      <c r="B39" s="183" t="s">
        <v>70</v>
      </c>
      <c r="C39" s="31"/>
      <c r="D39" s="31"/>
      <c r="E39" s="31"/>
    </row>
    <row r="40" spans="1:8" ht="15" customHeight="1" thickBot="1">
      <c r="A40" s="47" t="s">
        <v>56</v>
      </c>
      <c r="B40" s="194">
        <f>SUM(B39:B39)</f>
        <v>0</v>
      </c>
      <c r="C40" s="31"/>
      <c r="D40" s="31"/>
      <c r="E40" s="31"/>
    </row>
    <row r="41" spans="1:8" ht="15" customHeight="1">
      <c r="A41" s="1"/>
      <c r="B41" s="31"/>
      <c r="C41" s="31"/>
      <c r="D41" s="31"/>
      <c r="E41" s="31"/>
    </row>
    <row r="42" spans="1:8" ht="15" customHeight="1">
      <c r="A42" s="1"/>
      <c r="B42" s="31"/>
      <c r="C42" s="31"/>
      <c r="D42" s="31"/>
      <c r="E42" s="31"/>
    </row>
    <row r="43" spans="1:8" ht="15" customHeight="1">
      <c r="A43" s="44" t="s">
        <v>93</v>
      </c>
      <c r="B43" s="31"/>
      <c r="C43" s="31"/>
      <c r="D43" s="31"/>
      <c r="E43" s="48"/>
    </row>
    <row r="44" spans="1:8" ht="15" customHeight="1" thickBot="1">
      <c r="A44" s="44" t="s">
        <v>57</v>
      </c>
      <c r="B44" s="31"/>
      <c r="C44" s="31"/>
      <c r="D44" s="31"/>
      <c r="E44" s="31"/>
    </row>
    <row r="45" spans="1:8" ht="15" customHeight="1">
      <c r="A45" s="15" t="s">
        <v>42</v>
      </c>
      <c r="B45" s="45" t="s">
        <v>14</v>
      </c>
      <c r="C45" s="31"/>
      <c r="D45" s="31"/>
      <c r="E45" s="31"/>
    </row>
    <row r="46" spans="1:8" ht="15" customHeight="1">
      <c r="A46" s="19"/>
      <c r="B46" s="134" t="s">
        <v>55</v>
      </c>
      <c r="C46" s="31"/>
      <c r="D46" s="31"/>
      <c r="E46" s="31"/>
    </row>
    <row r="47" spans="1:8" ht="15" customHeight="1">
      <c r="A47" s="151"/>
      <c r="B47" s="183"/>
    </row>
    <row r="48" spans="1:8" ht="15" customHeight="1" thickBot="1">
      <c r="A48" s="47" t="s">
        <v>56</v>
      </c>
      <c r="B48" s="194">
        <f>SUM(B47:B47)</f>
        <v>0</v>
      </c>
      <c r="C48" s="32"/>
      <c r="D48" s="12"/>
      <c r="E48" s="12"/>
      <c r="F48" s="14"/>
      <c r="G48" s="13"/>
      <c r="H48" s="49"/>
    </row>
    <row r="49" spans="1:7" ht="15" customHeight="1">
      <c r="A49" s="48"/>
      <c r="B49" s="48"/>
      <c r="C49" s="18"/>
      <c r="D49" s="18"/>
      <c r="E49" s="18"/>
      <c r="F49" s="50"/>
    </row>
    <row r="50" spans="1:7" ht="15" customHeight="1">
      <c r="A50" s="1"/>
      <c r="B50" s="31"/>
      <c r="C50" s="21"/>
      <c r="D50" s="21"/>
      <c r="E50" s="21"/>
      <c r="F50" s="48"/>
    </row>
    <row r="51" spans="1:7" ht="15" customHeight="1">
      <c r="A51" s="1" t="s">
        <v>25</v>
      </c>
      <c r="B51" s="31"/>
      <c r="C51" s="6"/>
      <c r="D51" s="51"/>
      <c r="E51" s="26"/>
      <c r="F51" s="48"/>
    </row>
    <row r="52" spans="1:7" s="2" customFormat="1" ht="15" customHeight="1">
      <c r="A52" s="1"/>
      <c r="B52" s="31"/>
      <c r="C52" s="31"/>
      <c r="D52" s="31"/>
      <c r="E52" s="43"/>
      <c r="F52" s="3"/>
    </row>
    <row r="53" spans="1:7" ht="15" customHeight="1">
      <c r="A53" s="3" t="s">
        <v>58</v>
      </c>
      <c r="C53" s="31"/>
      <c r="D53" s="31"/>
      <c r="E53" s="43"/>
    </row>
    <row r="54" spans="1:7" ht="15" customHeight="1" thickBot="1">
      <c r="A54" s="117" t="s">
        <v>59</v>
      </c>
      <c r="B54" s="4"/>
      <c r="C54" s="11"/>
      <c r="D54" s="13"/>
      <c r="E54" s="13"/>
      <c r="F54" s="14"/>
      <c r="G54" s="52"/>
    </row>
    <row r="55" spans="1:7" ht="15" customHeight="1">
      <c r="A55" s="15" t="s">
        <v>42</v>
      </c>
      <c r="B55" s="45" t="s">
        <v>14</v>
      </c>
    </row>
    <row r="56" spans="1:7" ht="15" customHeight="1">
      <c r="A56" s="19"/>
      <c r="B56" s="46" t="s">
        <v>55</v>
      </c>
    </row>
    <row r="57" spans="1:7" ht="15" customHeight="1">
      <c r="A57" s="150" t="s">
        <v>69</v>
      </c>
      <c r="B57" s="148" t="s">
        <v>70</v>
      </c>
      <c r="D57" s="5"/>
    </row>
    <row r="58" spans="1:7" ht="15" customHeight="1" thickBot="1">
      <c r="A58" s="47" t="s">
        <v>56</v>
      </c>
      <c r="B58" s="194">
        <f>SUM(B57:B57)</f>
        <v>0</v>
      </c>
      <c r="D58" s="5"/>
    </row>
    <row r="59" spans="1:7" ht="15" customHeight="1">
      <c r="A59" s="1"/>
      <c r="B59" s="31"/>
      <c r="D59" s="5"/>
    </row>
    <row r="60" spans="1:7" ht="15" customHeight="1">
      <c r="A60" s="3" t="s">
        <v>97</v>
      </c>
      <c r="C60" s="18"/>
      <c r="D60" s="18"/>
      <c r="E60" s="2"/>
      <c r="F60" s="2"/>
      <c r="G60" s="2"/>
    </row>
    <row r="61" spans="1:7" s="5" customFormat="1" ht="15" customHeight="1" thickBot="1">
      <c r="A61" s="117"/>
      <c r="B61" s="4"/>
      <c r="C61" s="21"/>
      <c r="D61" s="21"/>
      <c r="E61" s="3"/>
      <c r="F61" s="3"/>
      <c r="G61" s="3"/>
    </row>
    <row r="62" spans="1:7" s="5" customFormat="1" ht="15" customHeight="1">
      <c r="A62" s="15" t="s">
        <v>42</v>
      </c>
      <c r="B62" s="45" t="s">
        <v>14</v>
      </c>
      <c r="C62" s="53"/>
      <c r="D62" s="54"/>
      <c r="E62" s="3"/>
      <c r="F62" s="3"/>
      <c r="G62" s="3"/>
    </row>
    <row r="63" spans="1:7" s="5" customFormat="1" ht="15" customHeight="1">
      <c r="A63" s="19"/>
      <c r="B63" s="46" t="s">
        <v>55</v>
      </c>
      <c r="C63" s="55"/>
      <c r="D63" s="56"/>
      <c r="E63" s="3"/>
      <c r="F63" s="3"/>
      <c r="G63" s="3"/>
    </row>
    <row r="64" spans="1:7" s="5" customFormat="1" ht="15" customHeight="1">
      <c r="A64" s="150" t="s">
        <v>69</v>
      </c>
      <c r="B64" s="148" t="s">
        <v>70</v>
      </c>
      <c r="C64" s="55"/>
      <c r="D64" s="57"/>
      <c r="E64" s="3"/>
      <c r="F64" s="3"/>
      <c r="G64" s="3"/>
    </row>
    <row r="65" spans="1:8" s="5" customFormat="1" ht="15" customHeight="1" thickBot="1">
      <c r="A65" s="47" t="s">
        <v>56</v>
      </c>
      <c r="B65" s="194">
        <f>SUM(B64:B64)</f>
        <v>0</v>
      </c>
      <c r="C65" s="48"/>
      <c r="D65" s="57"/>
      <c r="E65" s="3"/>
      <c r="F65" s="3"/>
      <c r="G65" s="3"/>
      <c r="H65" s="2"/>
    </row>
    <row r="66" spans="1:8" s="2" customFormat="1" ht="15" customHeight="1">
      <c r="A66" s="10"/>
      <c r="B66" s="5"/>
      <c r="C66" s="53"/>
      <c r="D66" s="54"/>
      <c r="E66" s="3"/>
      <c r="F66" s="3"/>
      <c r="G66" s="3"/>
    </row>
    <row r="67" spans="1:8" ht="15" customHeight="1">
      <c r="A67" s="1" t="s">
        <v>60</v>
      </c>
      <c r="C67" s="48"/>
      <c r="D67" s="57"/>
      <c r="E67" s="58"/>
    </row>
    <row r="68" spans="1:8" ht="15" customHeight="1">
      <c r="A68" s="1"/>
      <c r="C68" s="48"/>
      <c r="D68" s="57"/>
    </row>
    <row r="69" spans="1:8" ht="15" customHeight="1">
      <c r="A69" s="3" t="s">
        <v>61</v>
      </c>
      <c r="B69" s="5"/>
      <c r="C69" s="48"/>
      <c r="D69" s="57"/>
    </row>
    <row r="70" spans="1:8" ht="15" customHeight="1">
      <c r="A70" s="3" t="s">
        <v>62</v>
      </c>
      <c r="B70" s="5"/>
      <c r="C70" s="48"/>
      <c r="D70" s="60"/>
    </row>
    <row r="71" spans="1:8" ht="15" customHeight="1" thickBot="1">
      <c r="A71" s="3" t="s">
        <v>63</v>
      </c>
      <c r="B71" s="5"/>
      <c r="C71" s="31"/>
    </row>
    <row r="72" spans="1:8" ht="15" customHeight="1">
      <c r="A72" s="15" t="s">
        <v>42</v>
      </c>
      <c r="B72" s="45" t="s">
        <v>14</v>
      </c>
      <c r="C72" s="31"/>
    </row>
    <row r="73" spans="1:8" ht="15" customHeight="1" thickBot="1">
      <c r="A73" s="129"/>
      <c r="B73" s="134" t="s">
        <v>64</v>
      </c>
      <c r="C73" s="61"/>
    </row>
    <row r="74" spans="1:8" ht="15" customHeight="1">
      <c r="A74" s="203" t="s">
        <v>65</v>
      </c>
      <c r="B74" s="204"/>
      <c r="C74" s="63"/>
      <c r="D74" s="64"/>
    </row>
    <row r="75" spans="1:8" ht="15" customHeight="1">
      <c r="A75" s="128"/>
      <c r="B75" s="133"/>
      <c r="C75" s="65"/>
      <c r="D75" s="64"/>
    </row>
    <row r="76" spans="1:8" s="6" customFormat="1" ht="15" customHeight="1">
      <c r="A76" s="122"/>
      <c r="B76" s="133"/>
      <c r="C76" s="1"/>
      <c r="D76" s="64"/>
      <c r="E76" s="66" t="s">
        <v>21</v>
      </c>
    </row>
    <row r="77" spans="1:8" ht="15" customHeight="1">
      <c r="A77" s="128"/>
      <c r="B77" s="133"/>
    </row>
    <row r="78" spans="1:8" ht="15" customHeight="1">
      <c r="A78" s="205" t="s">
        <v>66</v>
      </c>
      <c r="B78" s="206"/>
    </row>
    <row r="79" spans="1:8" ht="15" customHeight="1">
      <c r="A79" s="128"/>
      <c r="B79" s="133"/>
    </row>
    <row r="80" spans="1:8" ht="15" customHeight="1">
      <c r="A80" s="128"/>
      <c r="B80" s="133"/>
      <c r="D80" s="37"/>
    </row>
    <row r="81" spans="1:2" ht="15" customHeight="1">
      <c r="A81" s="128"/>
      <c r="B81" s="133"/>
    </row>
    <row r="82" spans="1:2" ht="15" customHeight="1" thickBot="1">
      <c r="A82" s="27" t="s">
        <v>56</v>
      </c>
      <c r="B82" s="59"/>
    </row>
    <row r="83" spans="1:2" ht="15" customHeight="1">
      <c r="B83" s="31"/>
    </row>
    <row r="84" spans="1:2" ht="15" customHeight="1">
      <c r="B84" s="31"/>
    </row>
    <row r="85" spans="1:2" s="2" customFormat="1" ht="15" customHeight="1" thickBot="1">
      <c r="A85" s="61"/>
      <c r="B85" s="61"/>
    </row>
    <row r="86" spans="1:2" ht="15" customHeight="1">
      <c r="A86" s="62" t="s">
        <v>67</v>
      </c>
      <c r="B86" s="184">
        <f>SUM(E17,E20,B48,B58,B82,B33,B40,B65)</f>
        <v>0</v>
      </c>
    </row>
    <row r="87" spans="1:2" ht="15" customHeight="1">
      <c r="A87" s="23" t="s">
        <v>98</v>
      </c>
      <c r="B87" s="180" cm="1">
        <f t="array" aca="1" ref="B87" ca="1">SUMPRODUCT(MID(0&amp;A87, LARGE(INDEX(ISNUMBER(--MID(A87, ROW(INDIRECT("1:"&amp;LEN(A87))), 1)) * ROW(INDIRECT("1:"&amp;LEN(A87))), 0), ROW(INDIRECT("1:"&amp;LEN(A87))))+1, 1) * 10^ROW(INDIRECT("1:"&amp;LEN(A87)))/10)%*B86</f>
        <v>0</v>
      </c>
    </row>
    <row r="88" spans="1:2" ht="15" customHeight="1">
      <c r="A88" s="195" t="s">
        <v>94</v>
      </c>
      <c r="B88" s="196">
        <f ca="1">ROUND(SUM(B86,B87)*7%, 2)</f>
        <v>0</v>
      </c>
    </row>
    <row r="89" spans="1:2" ht="15" customHeight="1" thickBot="1">
      <c r="A89" s="27" t="s">
        <v>68</v>
      </c>
      <c r="B89" s="182">
        <f ca="1">SUM(B86:B88)</f>
        <v>0</v>
      </c>
    </row>
    <row r="97" spans="1:2" ht="15" customHeight="1">
      <c r="A97" s="2"/>
      <c r="B97" s="2"/>
    </row>
  </sheetData>
  <mergeCells count="5">
    <mergeCell ref="A2:H2"/>
    <mergeCell ref="A3:H3"/>
    <mergeCell ref="A4:H4"/>
    <mergeCell ref="A74:B74"/>
    <mergeCell ref="A78:B78"/>
  </mergeCells>
  <conditionalFormatting sqref="A32:B32">
    <cfRule type="containsBlanks" dxfId="5" priority="8">
      <formula>LEN(TRIM(A32))=0</formula>
    </cfRule>
  </conditionalFormatting>
  <conditionalFormatting sqref="A39:B39">
    <cfRule type="containsBlanks" dxfId="4" priority="2">
      <formula>LEN(TRIM(A39))=0</formula>
    </cfRule>
  </conditionalFormatting>
  <conditionalFormatting sqref="A47:B47">
    <cfRule type="containsBlanks" dxfId="3" priority="7">
      <formula>LEN(TRIM(A47))=0</formula>
    </cfRule>
  </conditionalFormatting>
  <conditionalFormatting sqref="A57:B57">
    <cfRule type="containsBlanks" dxfId="2" priority="6">
      <formula>LEN(TRIM(A57))=0</formula>
    </cfRule>
  </conditionalFormatting>
  <conditionalFormatting sqref="A64:B64">
    <cfRule type="containsBlanks" dxfId="1" priority="1">
      <formula>LEN(TRIM(A64))=0</formula>
    </cfRule>
  </conditionalFormatting>
  <conditionalFormatting sqref="A19:E19">
    <cfRule type="containsBlanks" dxfId="0" priority="3">
      <formula>LEN(TRIM(A19))=0</formula>
    </cfRule>
  </conditionalFormatting>
  <printOptions horizontalCentered="1"/>
  <pageMargins left="0.25" right="0.25" top="0.75" bottom="0.75" header="0.3" footer="0.3"/>
  <pageSetup paperSize="9" scale="61" fitToHeight="3" orientation="landscape" cellComments="asDisplayed" r:id="rId1"/>
  <headerFooter alignWithMargins="0">
    <oddFooter>&amp;CPage &amp;P</oddFooter>
  </headerFooter>
  <rowBreaks count="1" manualBreakCount="1">
    <brk id="22" max="10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57E547-BFFA-409F-B4A3-5B3065111C5F}">
  <ds:schemaRefs/>
</ds:datastoreItem>
</file>

<file path=customXml/itemProps2.xml><?xml version="1.0" encoding="utf-8"?>
<ds:datastoreItem xmlns:ds="http://schemas.openxmlformats.org/officeDocument/2006/customXml" ds:itemID="{F87ECC6E-55CD-4B3E-9930-2B0009A40524}">
  <ds:schemaRefs/>
</ds:datastoreItem>
</file>

<file path=customXml/itemProps3.xml><?xml version="1.0" encoding="utf-8"?>
<ds:datastoreItem xmlns:ds="http://schemas.openxmlformats.org/officeDocument/2006/customXml" ds:itemID="{8726EF83-D784-4A3F-82EC-D612E8D0DF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 1a </vt:lpstr>
      <vt:lpstr>Form 1b</vt:lpstr>
      <vt:lpstr>'Form 1a '!Print_Area</vt:lpstr>
      <vt:lpstr>'Form 1b'!Print_Area</vt:lpstr>
    </vt:vector>
  </TitlesOfParts>
  <Company>Economic Development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EDB</dc:creator>
  <cp:lastModifiedBy>Aswathy Raj</cp:lastModifiedBy>
  <cp:lastPrinted>2019-02-25T06:57:00Z</cp:lastPrinted>
  <dcterms:created xsi:type="dcterms:W3CDTF">1998-06-20T03:35:00Z</dcterms:created>
  <dcterms:modified xsi:type="dcterms:W3CDTF">2023-04-19T08:04:55Z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  <property fmtid="{D5CDD505-2E9C-101B-9397-08002B2CF9AE}" pid="3" name="ICV">
    <vt:lpwstr>16AFB19D82C34F74BC77F6016F27DFA2</vt:lpwstr>
  </property>
  <property fmtid="{D5CDD505-2E9C-101B-9397-08002B2CF9AE}" pid="4" name="KSOProductBuildVer">
    <vt:lpwstr>1033-11.2.0.11156</vt:lpwstr>
  </property>
</Properties>
</file>