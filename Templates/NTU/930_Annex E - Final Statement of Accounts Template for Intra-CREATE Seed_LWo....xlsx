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2CBC461A-520B-428E-9592-6348ABCB2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" i="1" l="1"/>
  <c r="J14" i="1" a="1"/>
  <c r="I14" i="1" a="1"/>
  <c r="H14" i="1" a="1"/>
  <c r="G14" i="1" a="1"/>
  <c r="E14" i="1" a="1"/>
  <c r="F14" i="1" a="1"/>
  <c r="J14" i="1" l="1"/>
  <c r="I14" i="1"/>
  <c r="H14" i="1"/>
  <c r="G14" i="1"/>
  <c r="E14" i="1"/>
  <c r="F14" i="1"/>
  <c r="K10" i="1"/>
  <c r="K12" i="1"/>
  <c r="K13" i="1"/>
  <c r="J10" i="1"/>
  <c r="J11" i="1"/>
  <c r="K11" i="1" s="1"/>
  <c r="J12" i="1"/>
  <c r="J13" i="1"/>
  <c r="J9" i="1"/>
  <c r="K9" i="1" s="1"/>
  <c r="K14" i="1" l="1"/>
  <c r="K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C5CF4DCF-5F60-4315-96D1-E73ECA4E8E2D}">
      <text>
        <r>
          <rPr>
            <b/>
            <sz val="9"/>
            <color indexed="81"/>
            <rFont val="Tahoma"/>
            <family val="2"/>
          </rPr>
          <t xml:space="preserve">jx:area(lastCell="K7")
</t>
        </r>
      </text>
    </comment>
    <comment ref="C9" authorId="0" shapeId="0" xr:uid="{A967D819-BCDD-4322-8B76-64574BA45C28}">
      <text>
        <r>
          <rPr>
            <b/>
            <sz val="9"/>
            <color indexed="81"/>
            <rFont val="Tahoma"/>
            <family val="2"/>
          </rPr>
          <t xml:space="preserve">jx:area(lastCell="K9")
jx:each (items="claimVO.claimSummary" var="summary" lastCell="K9" select="summary.budgetCategory.code == 'EOM'")
</t>
        </r>
      </text>
    </comment>
    <comment ref="C10" authorId="0" shapeId="0" xr:uid="{F6D5CBF9-0944-4217-8D3D-80F0C76E5EDE}">
      <text>
        <r>
          <rPr>
            <b/>
            <sz val="9"/>
            <color indexed="81"/>
            <rFont val="Tahoma"/>
            <family val="2"/>
          </rPr>
          <t>jx:area(lastCell="K10")
jx:each (items="claimVO.claimSummary" var="summary" lastCell="K10" select="summary.budgetCategory.code == 'EQT'")</t>
        </r>
      </text>
    </comment>
    <comment ref="C11" authorId="0" shapeId="0" xr:uid="{5F0D6F93-FC81-4FE2-B8EC-264C8E86961E}">
      <text>
        <r>
          <rPr>
            <b/>
            <sz val="9"/>
            <color indexed="81"/>
            <rFont val="Tahoma"/>
            <family val="2"/>
          </rPr>
          <t xml:space="preserve">jx:area(lastCell="K11")
</t>
        </r>
      </text>
    </comment>
    <comment ref="C12" authorId="0" shapeId="0" xr:uid="{FB1C63B0-8767-468A-A9AF-80172DB39DB7}">
      <text>
        <r>
          <rPr>
            <b/>
            <sz val="9"/>
            <color indexed="81"/>
            <rFont val="Tahoma"/>
            <family val="2"/>
          </rPr>
          <t>jx:area(lastCell="K12")
jx:each (items="claimVO.claimSummary" var="summary" lastCell="K12" select="summary.budgetCategory.code == 'OST'")</t>
        </r>
      </text>
    </comment>
    <comment ref="C13" authorId="0" shapeId="0" xr:uid="{EFEA8565-F13F-4974-9A5F-C1D86E5BB42E}">
      <text>
        <r>
          <rPr>
            <b/>
            <sz val="9"/>
            <color indexed="81"/>
            <rFont val="Tahoma"/>
            <family val="2"/>
          </rPr>
          <t>jx:area(lastCell="K13")
jx:each (items="claimVO.claimSummary" var="summary" lastCell="K13" select="summary.budgetCategory.code == 'RSS'")</t>
        </r>
      </text>
    </comment>
    <comment ref="A14" authorId="0" shapeId="0" xr:uid="{DF01C2A4-CAE2-47F8-9345-06EDF62D6C0D}">
      <text>
        <r>
          <rPr>
            <b/>
            <sz val="9"/>
            <color indexed="81"/>
            <rFont val="Tahoma"/>
            <family val="2"/>
          </rPr>
          <t xml:space="preserve">jx:area(lastCell="K46")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<sst xmlns="http://schemas.openxmlformats.org/spreadsheetml/2006/main" count="79" uniqueCount="53">
  <si>
    <t>CONSOLIDATED STATEMENT</t>
  </si>
  <si>
    <t>CERTIFICATION</t>
  </si>
  <si>
    <t xml:space="preserve">We hereby certify that the particulars provided above are true and correct, and verified against the original source documents. </t>
  </si>
  <si>
    <t>(signature &amp; Date)</t>
  </si>
  <si>
    <t>(signature)</t>
  </si>
  <si>
    <t># Enclosed Bank Statement</t>
  </si>
  <si>
    <t>Please credit the fund to:</t>
  </si>
  <si>
    <t>Bank Name:</t>
  </si>
  <si>
    <t>Bank A/C Holder Name:</t>
  </si>
  <si>
    <t>Bank A/C No.:</t>
  </si>
  <si>
    <t>Cumulative received 
as at</t>
  </si>
  <si>
    <t>(a)</t>
  </si>
  <si>
    <t xml:space="preserve">Cumulative Expenditure 
as at </t>
  </si>
  <si>
    <t>(b)</t>
  </si>
  <si>
    <t>Expenditure incurred in the last quarter</t>
  </si>
  <si>
    <t xml:space="preserve">(c) </t>
  </si>
  <si>
    <t>Net Funds to be Received</t>
  </si>
  <si>
    <t>Balance Funds To Be Returned to NRF / 
(To Be Disbursed)</t>
  </si>
  <si>
    <t>Total Actual Expenditure 
incurred (NRF)</t>
  </si>
  <si>
    <t>NATIONAL RESEARCH FUND FINAL STATEMENT OF ACCOUNT FOR FUNDING INITIATIVES (FI) / PROJECTS</t>
  </si>
  <si>
    <t>FI / Project 
Cost Centre</t>
  </si>
  <si>
    <t>FI / Project 
Description</t>
  </si>
  <si>
    <t>FI / Project Start Date</t>
  </si>
  <si>
    <t>FI / Project End Date</t>
  </si>
  <si>
    <t>FI / Project Committed Budget</t>
  </si>
  <si>
    <t>FI / Project Current Year Budget</t>
  </si>
  <si>
    <t xml:space="preserve">(c) = (a) - (b) </t>
  </si>
  <si>
    <t>Manpower (EOM)</t>
  </si>
  <si>
    <t>Equipment (EQP)</t>
  </si>
  <si>
    <t>Other Operating Expenses (OOE)</t>
  </si>
  <si>
    <t>Overseas Travel (OT)</t>
  </si>
  <si>
    <t>Research Scholarship (RS)</t>
  </si>
  <si>
    <t>${summary.originalApprovedBudget}</t>
  </si>
  <si>
    <t>${summary.latestApprovedBudget}</t>
  </si>
  <si>
    <t xml:space="preserve"> ${claimVO.claim.rsoName}</t>
  </si>
  <si>
    <t>${claimVO.claim.foName}</t>
  </si>
  <si>
    <t xml:space="preserve">${claimVO.claim.payeeBank} </t>
  </si>
  <si>
    <t>${claimVO.claim.payeeAccountName}</t>
  </si>
  <si>
    <t>${claimVO.claim.payeeAccountNumber}</t>
  </si>
  <si>
    <t>${summary.prevClaimsTotalAmount}</t>
  </si>
  <si>
    <t>${summary.expenseIncuredToThisPeriod}</t>
  </si>
  <si>
    <t xml:space="preserve">( ${claimVO.previousClaimEndDate})      </t>
  </si>
  <si>
    <t xml:space="preserve">( ${claimVO.previousClaimEndDate})              </t>
  </si>
  <si>
    <r>
      <t>Less Bank interest earned for ${claimVO.claimStartAndEndYear}</t>
    </r>
    <r>
      <rPr>
        <vertAlign val="superscript"/>
        <sz val="10"/>
        <rFont val="Arial"/>
        <family val="2"/>
      </rPr>
      <t>#</t>
    </r>
  </si>
  <si>
    <t>${claimVO.lastClaimEndDate}</t>
  </si>
  <si>
    <t>Date :${claimVO.claimRSOApprovalDate}</t>
  </si>
  <si>
    <t>${claimVO.summaryOOE_MACSumValues.originalApprovedBudgetForOOEMAC}</t>
  </si>
  <si>
    <t>${claimVO.summaryOOE_MACSumValues.latestApprovedBudgetForOOEMAC}</t>
  </si>
  <si>
    <t>${claimVO.summaryOOE_MACSumValues.prevClaimsTotalAmountForOOEMAC}</t>
  </si>
  <si>
    <t>${claimVO.summaryOOE_MACSumValues.amountRequestedForOOEMAC}</t>
  </si>
  <si>
    <t>${claimVO.claim.award.beginDate}</t>
  </si>
  <si>
    <t>${claimVO.claim.award.finalExpirationDate}</t>
  </si>
  <si>
    <t>Indirect Costs(${claimVO.oHPercentage}%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</si>
</sst>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yy;@"/>
    <numFmt numFmtId="165" formatCode="[$-14809]d\ 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2" xfId="0" applyFont="1" applyBorder="1"/>
    <xf numFmtId="164" fontId="7" fillId="0" borderId="0" xfId="0" applyNumberFormat="1" applyFont="1" applyAlignment="1">
      <alignment horizontal="left"/>
    </xf>
    <xf numFmtId="0" fontId="7" fillId="0" borderId="0" xfId="0" quotePrefix="1" applyFont="1"/>
    <xf numFmtId="0" fontId="9" fillId="0" borderId="0" xfId="0" applyFont="1"/>
    <xf numFmtId="43" fontId="5" fillId="0" borderId="1" xfId="1" applyFont="1" applyBorder="1" applyAlignment="1">
      <alignment horizontal="center" wrapText="1"/>
    </xf>
    <xf numFmtId="43" fontId="6" fillId="0" borderId="2" xfId="1" applyFont="1" applyBorder="1" applyAlignment="1">
      <alignment horizontal="center" wrapText="1"/>
    </xf>
    <xf numFmtId="43" fontId="6" fillId="0" borderId="0" xfId="1" applyFont="1" applyAlignment="1">
      <alignment horizontal="right" vertical="top" wrapText="1"/>
    </xf>
    <xf numFmtId="0" fontId="7" fillId="0" borderId="0" xfId="0" applyFont="1" applyAlignment="1">
      <alignment vertical="center"/>
    </xf>
    <xf numFmtId="17" fontId="6" fillId="0" borderId="2" xfId="1" applyNumberFormat="1" applyFont="1" applyBorder="1" applyAlignment="1">
      <alignment horizontal="center" wrapText="1"/>
    </xf>
    <xf numFmtId="43" fontId="6" fillId="0" borderId="0" xfId="1" applyFont="1" applyAlignment="1">
      <alignment horizontal="center" vertical="top" wrapText="1"/>
    </xf>
    <xf numFmtId="39" fontId="6" fillId="0" borderId="0" xfId="0" applyNumberFormat="1" applyFont="1"/>
    <xf numFmtId="39" fontId="6" fillId="0" borderId="0" xfId="0" applyNumberFormat="1" applyFont="1" applyAlignment="1">
      <alignment horizontal="right"/>
    </xf>
    <xf numFmtId="43" fontId="6" fillId="0" borderId="0" xfId="1" quotePrefix="1" applyFont="1" applyAlignment="1">
      <alignment horizontal="center" vertical="top" wrapText="1"/>
    </xf>
    <xf numFmtId="39" fontId="6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center" vertical="top" wrapText="1"/>
    </xf>
    <xf numFmtId="17" fontId="6" fillId="0" borderId="0" xfId="1" applyNumberFormat="1" applyFont="1" applyBorder="1" applyAlignment="1">
      <alignment horizontal="center" wrapText="1"/>
    </xf>
    <xf numFmtId="165" fontId="6" fillId="0" borderId="2" xfId="1" quotePrefix="1" applyNumberFormat="1" applyFont="1" applyBorder="1" applyAlignment="1">
      <alignment horizontal="center" wrapText="1"/>
    </xf>
    <xf numFmtId="165" fontId="6" fillId="0" borderId="2" xfId="1" applyNumberFormat="1" applyFont="1" applyBorder="1" applyAlignment="1">
      <alignment horizontal="center" wrapText="1"/>
    </xf>
    <xf numFmtId="4" fontId="6" fillId="0" borderId="0" xfId="0" applyNumberFormat="1" applyFont="1" applyAlignment="1">
      <alignment horizontal="right" vertical="center"/>
    </xf>
    <xf numFmtId="4" fontId="6" fillId="0" borderId="0" xfId="1" applyNumberFormat="1" applyFont="1" applyAlignment="1">
      <alignment horizontal="right" vertical="center"/>
    </xf>
    <xf numFmtId="4" fontId="6" fillId="0" borderId="0" xfId="1" quotePrefix="1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3" xfId="1" applyNumberFormat="1" applyFont="1" applyBorder="1" applyAlignment="1">
      <alignment horizontal="right" vertical="center"/>
    </xf>
    <xf numFmtId="165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1"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9" zoomScale="70" zoomScaleNormal="70" workbookViewId="0">
      <selection activeCell="J14" sqref="J14"/>
    </sheetView>
  </sheetViews>
  <sheetFormatPr defaultRowHeight="15" x14ac:dyDescent="0.25"/>
  <cols>
    <col min="1" max="1" width="25.7109375" customWidth="1"/>
    <col min="2" max="2" width="33.85546875" customWidth="1"/>
    <col min="3" max="3" width="22.140625" customWidth="1"/>
    <col min="4" max="4" width="18.42578125" customWidth="1"/>
    <col min="5" max="7" width="25.7109375" customWidth="1"/>
    <col min="8" max="9" width="23.85546875" bestFit="1" customWidth="1"/>
    <col min="10" max="11" width="25.7109375" customWidth="1"/>
    <col min="12" max="12" width="21.85546875" customWidth="1"/>
  </cols>
  <sheetData>
    <row r="1" spans="1:12" ht="15.75" x14ac:dyDescent="0.25">
      <c r="A1" s="1" t="s">
        <v>19</v>
      </c>
      <c r="B1" s="1"/>
      <c r="C1" s="1"/>
      <c r="D1" s="1"/>
    </row>
    <row r="2" spans="1:12" ht="15.75" x14ac:dyDescent="0.25">
      <c r="A2" s="1"/>
      <c r="B2" s="1"/>
      <c r="C2" s="1"/>
      <c r="D2" s="1"/>
    </row>
    <row r="3" spans="1:12" ht="15.75" x14ac:dyDescent="0.25">
      <c r="A3" s="2"/>
      <c r="B3" s="2"/>
      <c r="C3" s="2"/>
      <c r="D3" s="2"/>
    </row>
    <row r="4" spans="1:12" ht="15.75" x14ac:dyDescent="0.25">
      <c r="A4" s="1" t="s">
        <v>0</v>
      </c>
      <c r="B4" s="1"/>
      <c r="C4" s="1"/>
      <c r="D4" s="1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39" x14ac:dyDescent="0.25">
      <c r="A6" s="4" t="s">
        <v>20</v>
      </c>
      <c r="B6" s="4" t="s">
        <v>21</v>
      </c>
      <c r="C6" s="4" t="s">
        <v>22</v>
      </c>
      <c r="D6" s="4" t="s">
        <v>23</v>
      </c>
      <c r="E6" s="15" t="s">
        <v>24</v>
      </c>
      <c r="F6" s="15" t="s">
        <v>25</v>
      </c>
      <c r="G6" s="15" t="s">
        <v>10</v>
      </c>
      <c r="H6" s="15" t="s">
        <v>12</v>
      </c>
      <c r="I6" s="15" t="s">
        <v>14</v>
      </c>
      <c r="J6" s="15" t="s">
        <v>18</v>
      </c>
      <c r="K6" s="15" t="s">
        <v>17</v>
      </c>
      <c r="L6" s="26"/>
    </row>
    <row r="7" spans="1:12" ht="39" x14ac:dyDescent="0.25">
      <c r="A7" s="5"/>
      <c r="B7" s="5"/>
      <c r="C7" s="5"/>
      <c r="D7" s="5"/>
      <c r="E7" s="5"/>
      <c r="F7" s="16"/>
      <c r="G7" s="28" t="s">
        <v>44</v>
      </c>
      <c r="H7" s="29" t="s">
        <v>41</v>
      </c>
      <c r="I7" s="29" t="s">
        <v>42</v>
      </c>
      <c r="J7" s="19"/>
      <c r="K7" s="19"/>
      <c r="L7" s="27"/>
    </row>
    <row r="8" spans="1:12" x14ac:dyDescent="0.25">
      <c r="A8" s="6"/>
      <c r="B8" s="6"/>
      <c r="C8" s="6"/>
      <c r="D8" s="6"/>
      <c r="E8" s="6"/>
      <c r="F8" s="17"/>
      <c r="G8" s="20" t="s">
        <v>11</v>
      </c>
      <c r="H8" s="20" t="s">
        <v>13</v>
      </c>
      <c r="I8" s="20" t="s">
        <v>15</v>
      </c>
      <c r="J8" s="20" t="s">
        <v>13</v>
      </c>
      <c r="K8" s="23" t="s">
        <v>26</v>
      </c>
    </row>
    <row r="9" spans="1:12" ht="24.95" customHeight="1" x14ac:dyDescent="0.25">
      <c r="A9" s="6"/>
      <c r="B9" s="8" t="s">
        <v>27</v>
      </c>
      <c r="C9" s="35" t="s">
        <v>50</v>
      </c>
      <c r="D9" s="35" t="s">
        <v>51</v>
      </c>
      <c r="E9" s="30" t="s">
        <v>32</v>
      </c>
      <c r="F9" s="31" t="s">
        <v>33</v>
      </c>
      <c r="G9" s="31" t="s">
        <v>39</v>
      </c>
      <c r="H9" s="31" t="s">
        <v>39</v>
      </c>
      <c r="I9" s="31" t="s">
        <v>40</v>
      </c>
      <c r="J9" s="31" t="e">
        <f>H9+I9</f>
        <v>#VALUE!</v>
      </c>
      <c r="K9" s="32" t="e">
        <f>G9-J9</f>
        <v>#VALUE!</v>
      </c>
    </row>
    <row r="10" spans="1:12" ht="24.95" customHeight="1" x14ac:dyDescent="0.25">
      <c r="A10" s="6"/>
      <c r="B10" s="8" t="s">
        <v>28</v>
      </c>
      <c r="C10" s="35" t="s">
        <v>50</v>
      </c>
      <c r="D10" s="35" t="s">
        <v>51</v>
      </c>
      <c r="E10" s="30" t="s">
        <v>32</v>
      </c>
      <c r="F10" s="31" t="s">
        <v>33</v>
      </c>
      <c r="G10" s="31" t="s">
        <v>39</v>
      </c>
      <c r="H10" s="31" t="s">
        <v>39</v>
      </c>
      <c r="I10" s="31" t="s">
        <v>40</v>
      </c>
      <c r="J10" s="31" t="e">
        <f t="shared" ref="J10:J13" si="0">H10+I10</f>
        <v>#VALUE!</v>
      </c>
      <c r="K10" s="32" t="e">
        <f t="shared" ref="K10:K14" si="1">G10-J10</f>
        <v>#VALUE!</v>
      </c>
    </row>
    <row r="11" spans="1:12" ht="24.95" customHeight="1" x14ac:dyDescent="0.25">
      <c r="A11" s="6"/>
      <c r="B11" s="8" t="s">
        <v>29</v>
      </c>
      <c r="C11" s="35" t="s">
        <v>50</v>
      </c>
      <c r="D11" s="35" t="s">
        <v>51</v>
      </c>
      <c r="E11" s="30" t="s">
        <v>46</v>
      </c>
      <c r="F11" s="31" t="s">
        <v>47</v>
      </c>
      <c r="G11" s="31" t="s">
        <v>48</v>
      </c>
      <c r="H11" s="31" t="s">
        <v>48</v>
      </c>
      <c r="I11" s="31" t="s">
        <v>49</v>
      </c>
      <c r="J11" s="31" t="e">
        <f t="shared" si="0"/>
        <v>#VALUE!</v>
      </c>
      <c r="K11" s="32" t="e">
        <f t="shared" si="1"/>
        <v>#VALUE!</v>
      </c>
    </row>
    <row r="12" spans="1:12" ht="24.95" customHeight="1" x14ac:dyDescent="0.25">
      <c r="A12" s="6"/>
      <c r="B12" s="8" t="s">
        <v>30</v>
      </c>
      <c r="C12" s="35" t="s">
        <v>50</v>
      </c>
      <c r="D12" s="35" t="s">
        <v>51</v>
      </c>
      <c r="E12" s="30" t="s">
        <v>32</v>
      </c>
      <c r="F12" s="31" t="s">
        <v>33</v>
      </c>
      <c r="G12" s="31" t="s">
        <v>39</v>
      </c>
      <c r="H12" s="31" t="s">
        <v>39</v>
      </c>
      <c r="I12" s="31" t="s">
        <v>40</v>
      </c>
      <c r="J12" s="31" t="e">
        <f t="shared" si="0"/>
        <v>#VALUE!</v>
      </c>
      <c r="K12" s="32" t="e">
        <f t="shared" si="1"/>
        <v>#VALUE!</v>
      </c>
    </row>
    <row r="13" spans="1:12" ht="24.95" customHeight="1" x14ac:dyDescent="0.25">
      <c r="A13" s="7"/>
      <c r="B13" s="8" t="s">
        <v>31</v>
      </c>
      <c r="C13" s="35" t="s">
        <v>50</v>
      </c>
      <c r="D13" s="35" t="s">
        <v>51</v>
      </c>
      <c r="E13" s="30" t="s">
        <v>32</v>
      </c>
      <c r="F13" s="31" t="s">
        <v>33</v>
      </c>
      <c r="G13" s="31" t="s">
        <v>39</v>
      </c>
      <c r="H13" s="31" t="s">
        <v>39</v>
      </c>
      <c r="I13" s="31" t="s">
        <v>40</v>
      </c>
      <c r="J13" s="31" t="e">
        <f t="shared" si="0"/>
        <v>#VALUE!</v>
      </c>
      <c r="K13" s="32" t="e">
        <f t="shared" si="1"/>
        <v>#VALUE!</v>
      </c>
    </row>
    <row r="14" spans="1:12" ht="24.95" customHeight="1" x14ac:dyDescent="0.25">
      <c r="A14" s="8"/>
      <c r="B14" s="8" t="s">
        <v>52</v>
      </c>
      <c r="C14" s="8"/>
      <c r="D14" s="8"/>
      <c r="E14" s="30" cm="1">
        <f t="array" aca="1" ref="E14" ca="1">ROUND(SUM(E9:E13)*SUMPRODUCT(MID(0&amp;B14, LARGE(INDEX(ISNUMBER(--MID(B14, ROW(INDIRECT("1:"&amp;LEN(B14))), 1)) * ROW(INDIRECT("1:"&amp;LEN(B14))), 0), ROW(INDIRECT("1:"&amp;LEN(B14))))+1, 1) * 10^ROW(INDIRECT("1:"&amp;LEN(B14)))/10)%, 2)</f>
        <v>0</v>
      </c>
      <c r="F14" s="30" cm="1">
        <f t="array" aca="1" ref="F14" ca="1">ROUND(SUM(F9:F13)*SUMPRODUCT(MID(0&amp;B14, LARGE(INDEX(ISNUMBER(--MID(B14, ROW(INDIRECT("1:"&amp;LEN(B14))), 1)) * ROW(INDIRECT("1:"&amp;LEN(B14))), 0), ROW(INDIRECT("1:"&amp;LEN(B14))))+1, 1) * 10^ROW(INDIRECT("1:"&amp;LEN(B14)))/10)%, 2)</f>
        <v>0</v>
      </c>
      <c r="G14" s="30" cm="1">
        <f t="array" aca="1" ref="G14" ca="1">ROUND(SUM(G9:G13)*SUMPRODUCT(MID(0&amp;B14, LARGE(INDEX(ISNUMBER(--MID(B14, ROW(INDIRECT("1:"&amp;LEN(B14))), 1)) * ROW(INDIRECT("1:"&amp;LEN(B14))), 0), ROW(INDIRECT("1:"&amp;LEN(B14))))+1, 1) * 10^ROW(INDIRECT("1:"&amp;LEN(B14)))/10)%, 2)</f>
        <v>0</v>
      </c>
      <c r="H14" s="30" cm="1">
        <f t="array" aca="1" ref="H14" ca="1">ROUND(SUM(H9:H13)*SUMPRODUCT(MID(0&amp;B14, LARGE(INDEX(ISNUMBER(--MID(B14, ROW(INDIRECT("1:"&amp;LEN(B14))), 1)) * ROW(INDIRECT("1:"&amp;LEN(B14))), 0), ROW(INDIRECT("1:"&amp;LEN(B14))))+1, 1) * 10^ROW(INDIRECT("1:"&amp;LEN(B14)))/10)%, 2)</f>
        <v>0</v>
      </c>
      <c r="I14" s="30" cm="1">
        <f t="array" aca="1" ref="I14" ca="1">ROUND(SUM(I9:I13)*SUMPRODUCT(MID(0&amp;B14, LARGE(INDEX(ISNUMBER(--MID(B14, ROW(INDIRECT("1:"&amp;LEN(B14))), 1)) * ROW(INDIRECT("1:"&amp;LEN(B14))), 0), ROW(INDIRECT("1:"&amp;LEN(B14))))+1, 1) * 10^ROW(INDIRECT("1:"&amp;LEN(B14)))/10)%, 2)</f>
        <v>0</v>
      </c>
      <c r="J14" s="30" t="e" cm="1">
        <f t="array" aca="1" ref="J14" ca="1">ROUND(SUM(J9:J13)*SUMPRODUCT(MID(0&amp;B14, LARGE(INDEX(ISNUMBER(--MID(B14, ROW(INDIRECT("1:"&amp;LEN(B14))), 1)) * ROW(INDIRECT("1:"&amp;LEN(B14))), 0), ROW(INDIRECT("1:"&amp;LEN(B14))))+1, 1) * 10^ROW(INDIRECT("1:"&amp;LEN(B14)))/10)%, 2)</f>
        <v>#VALUE!</v>
      </c>
      <c r="K14" s="32" t="e">
        <f t="shared" ca="1" si="1"/>
        <v>#VALUE!</v>
      </c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21"/>
      <c r="K15" s="33" t="e">
        <f>SUM(K9:K14)</f>
        <v>#VALUE!</v>
      </c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22" t="s">
        <v>43</v>
      </c>
      <c r="K16" s="24"/>
    </row>
    <row r="17" spans="1:11" ht="15.75" thickBot="1" x14ac:dyDescent="0.3">
      <c r="A17" s="6"/>
      <c r="B17" s="6"/>
      <c r="C17" s="6"/>
      <c r="D17" s="6"/>
      <c r="E17" s="6"/>
      <c r="F17" s="6"/>
      <c r="G17" s="6"/>
      <c r="H17" s="6"/>
      <c r="I17" s="6"/>
      <c r="J17" s="22" t="s">
        <v>16</v>
      </c>
      <c r="K17" s="34" t="e">
        <f>K15-K16</f>
        <v>#VALUE!</v>
      </c>
    </row>
    <row r="18" spans="1:11" ht="15.75" thickTop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25"/>
    </row>
    <row r="19" spans="1:1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10" t="s">
        <v>1</v>
      </c>
      <c r="B20" s="10"/>
      <c r="C20" s="10"/>
      <c r="D20" s="10"/>
      <c r="E20" s="10"/>
      <c r="F20" s="9"/>
      <c r="G20" s="9"/>
      <c r="H20" s="9"/>
      <c r="I20" s="9"/>
      <c r="J20" s="9"/>
      <c r="K20" s="9"/>
    </row>
    <row r="21" spans="1:11" x14ac:dyDescent="0.25">
      <c r="A21" s="9" t="s">
        <v>2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11"/>
      <c r="B26" s="11"/>
      <c r="C26" s="11"/>
      <c r="D26" s="11"/>
      <c r="E26" s="11"/>
      <c r="F26" s="9"/>
      <c r="G26" s="9"/>
      <c r="H26" s="9"/>
      <c r="I26" s="9"/>
      <c r="J26" s="9"/>
      <c r="K26" s="9"/>
    </row>
    <row r="27" spans="1:11" x14ac:dyDescent="0.25">
      <c r="A27" s="9" t="s">
        <v>3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5">
      <c r="A28" s="9" t="s">
        <v>35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25">
      <c r="A30" s="12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25">
      <c r="A31" s="11"/>
      <c r="B31" s="11"/>
      <c r="C31" s="11"/>
      <c r="D31" s="11"/>
      <c r="E31" s="11"/>
      <c r="F31" s="9"/>
      <c r="G31" s="9"/>
      <c r="H31" s="9"/>
      <c r="I31" s="9"/>
      <c r="J31" s="9"/>
      <c r="K31" s="9"/>
    </row>
    <row r="32" spans="1:11" x14ac:dyDescent="0.25">
      <c r="A32" s="9" t="s">
        <v>4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25">
      <c r="A33" s="9" t="s">
        <v>34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5">
      <c r="A35" s="12" t="s">
        <v>45</v>
      </c>
      <c r="B35" s="12"/>
      <c r="C35" s="12"/>
      <c r="D35" s="12"/>
      <c r="E35" s="12"/>
      <c r="F35" s="9"/>
      <c r="G35" s="9"/>
      <c r="H35" s="9"/>
      <c r="I35" s="9"/>
      <c r="J35" s="9"/>
      <c r="K35" s="9"/>
    </row>
    <row r="36" spans="1:1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5">
      <c r="A37" s="9" t="s">
        <v>5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5">
      <c r="A38" s="13"/>
      <c r="B38" s="13"/>
      <c r="C38" s="13"/>
      <c r="D38" s="13"/>
      <c r="E38" s="13"/>
      <c r="F38" s="9"/>
      <c r="G38" s="9"/>
      <c r="H38" s="9"/>
      <c r="I38" s="9"/>
      <c r="J38" s="9"/>
      <c r="K38" s="9"/>
    </row>
    <row r="39" spans="1:11" x14ac:dyDescent="0.25">
      <c r="A39" s="14" t="s">
        <v>6</v>
      </c>
      <c r="B39" s="14"/>
      <c r="C39" s="14"/>
      <c r="D39" s="14"/>
      <c r="E39" s="14"/>
      <c r="F39" s="9"/>
      <c r="G39" s="9"/>
      <c r="H39" s="9"/>
      <c r="I39" s="9"/>
      <c r="J39" s="9"/>
      <c r="K39" s="9"/>
    </row>
    <row r="40" spans="1:1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5">
      <c r="A41" s="36" t="s">
        <v>7</v>
      </c>
      <c r="B41" s="36"/>
      <c r="C41" s="36"/>
      <c r="D41" s="36"/>
      <c r="E41" s="36"/>
      <c r="F41" s="18" t="s">
        <v>36</v>
      </c>
      <c r="G41" s="18"/>
      <c r="H41" s="18"/>
      <c r="I41" s="18"/>
      <c r="J41" s="9"/>
      <c r="K41" s="9"/>
    </row>
    <row r="42" spans="1:11" x14ac:dyDescent="0.25">
      <c r="A42" s="36" t="s">
        <v>8</v>
      </c>
      <c r="B42" s="36"/>
      <c r="C42" s="36"/>
      <c r="D42" s="36"/>
      <c r="E42" s="36"/>
      <c r="F42" s="18" t="s">
        <v>37</v>
      </c>
      <c r="G42" s="18"/>
      <c r="H42" s="18"/>
      <c r="I42" s="18"/>
      <c r="J42" s="9"/>
      <c r="K42" s="9"/>
    </row>
    <row r="43" spans="1:11" x14ac:dyDescent="0.25">
      <c r="A43" s="36" t="s">
        <v>9</v>
      </c>
      <c r="B43" s="36"/>
      <c r="C43" s="36"/>
      <c r="D43" s="36"/>
      <c r="E43" s="36"/>
      <c r="F43" s="18" t="s">
        <v>38</v>
      </c>
      <c r="G43" s="18"/>
      <c r="H43" s="18"/>
      <c r="I43" s="18"/>
      <c r="J43" s="9"/>
      <c r="K43" s="9"/>
    </row>
  </sheetData>
  <mergeCells count="3">
    <mergeCell ref="A41:E41"/>
    <mergeCell ref="A42:E42"/>
    <mergeCell ref="A43:E43"/>
  </mergeCells>
  <conditionalFormatting sqref="C9:K14">
    <cfRule type="containsBlanks" dxfId="0" priority="1">
      <formula>LEN(TRIM(C9))=0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4227BF-F03D-40ED-B185-B08CFE2A71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B3AC84-A303-45B3-A18F-37FEE2D36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c1d3c-cbfd-41c9-a7b1-f0c6f1ecb0ca"/>
    <ds:schemaRef ds:uri="fb35db46-6e83-44d9-a6c1-dd79dfbfd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AA1405-C44E-41BF-8045-10854D359E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SEE (NRF)</dc:creator>
  <cp:lastModifiedBy>Aswathy Raj</cp:lastModifiedBy>
  <dcterms:created xsi:type="dcterms:W3CDTF">2015-09-16T06:05:56Z</dcterms:created>
  <dcterms:modified xsi:type="dcterms:W3CDTF">2023-04-19T08:01:25Z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