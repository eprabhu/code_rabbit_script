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809EFB5E-26E3-48F1-AB46-D5EFDAB23A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1" r:id="rId1"/>
    <sheet name="Annex - detail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F18" i="1" a="1"/>
  <c r="E18" i="1" a="1"/>
  <c r="D18" i="1" a="1"/>
  <c r="C18" i="1" a="1"/>
  <c r="B18" i="1" a="1"/>
  <c r="F18" i="1" l="1"/>
  <c r="E18" i="1"/>
  <c r="D18" i="1"/>
  <c r="C18" i="1"/>
  <c r="B18" i="1"/>
  <c r="G18" i="1" l="1"/>
  <c r="D19" i="1"/>
  <c r="F19" i="1"/>
  <c r="E19" i="1"/>
  <c r="C19" i="1"/>
  <c r="B19" i="1"/>
  <c r="G17" i="1"/>
  <c r="G16" i="1"/>
  <c r="G15" i="1"/>
  <c r="G13" i="1"/>
  <c r="G19" i="1" l="1"/>
  <c r="G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aswathy.raj</author>
    <author>Aswathy Raj</author>
    <author>Vaikunda Raja</author>
  </authors>
  <commentList>
    <comment ref="A1" authorId="0" shapeId="0" xr:uid="{00000000-0006-0000-0000-000001000000}">
      <text>
        <r>
          <rPr>
            <sz val="9"/>
            <rFont val="Times New Roman"/>
            <family val="1"/>
          </rPr>
          <t xml:space="preserve">jx:area(lastCell="I12")
</t>
        </r>
      </text>
    </comment>
    <comment ref="B13" authorId="1" shapeId="0" xr:uid="{62D1ACF9-B767-42D8-9EE7-8EAA43B8452E}">
      <text>
        <r>
          <rPr>
            <b/>
            <sz val="9"/>
            <color indexed="81"/>
            <rFont val="Tahoma"/>
            <family val="2"/>
          </rPr>
          <t>jx:area(lastCell="F13")
jx:each (items="claimVO.claimSummary" var="summary" lastCell="F13" select="summary.budgetCategoryCode == 'EOM'")</t>
        </r>
      </text>
    </comment>
    <comment ref="G13" authorId="2" shapeId="0" xr:uid="{58F149D2-A2A9-4A4D-825D-B6CF8D4BB315}">
      <text>
        <r>
          <rPr>
            <b/>
            <sz val="9"/>
            <color indexed="81"/>
            <rFont val="Tahoma"/>
            <family val="2"/>
          </rPr>
          <t>jx:area(lastCell="G13")</t>
        </r>
      </text>
    </comment>
    <comment ref="B14" authorId="1" shapeId="0" xr:uid="{EBBA7E52-E4F4-4515-8844-3CB73EB39102}">
      <text>
        <r>
          <rPr>
            <b/>
            <sz val="10"/>
            <color indexed="81"/>
            <rFont val="Tahoma"/>
            <family val="2"/>
          </rPr>
          <t>jx:area(lastCell="F14")
jx:each (items="claimVO.claimSummary" var="summary" lastCell="F14" select="summary.budgetCategoryCode == 'EQT'")</t>
        </r>
      </text>
    </comment>
    <comment ref="G14" authorId="2" shapeId="0" xr:uid="{AE8AD813-53C1-40B3-BDD3-5669371AEBB0}">
      <text>
        <r>
          <rPr>
            <b/>
            <sz val="9"/>
            <color indexed="81"/>
            <rFont val="Tahoma"/>
            <family val="2"/>
          </rPr>
          <t>jx:area(lastCell="G14")</t>
        </r>
      </text>
    </comment>
    <comment ref="B15" authorId="1" shapeId="0" xr:uid="{0FE7116C-CA3C-46F9-B2C8-6145866ABEC2}">
      <text>
        <r>
          <rPr>
            <b/>
            <sz val="9"/>
            <color indexed="81"/>
            <rFont val="Tahoma"/>
            <family val="2"/>
          </rPr>
          <t xml:space="preserve">jx:area(lastCell="F15")
</t>
        </r>
      </text>
    </comment>
    <comment ref="G15" authorId="2" shapeId="0" xr:uid="{C763C26C-479C-4F64-AEFF-0F0B8668EB2C}">
      <text>
        <r>
          <rPr>
            <b/>
            <sz val="9"/>
            <color indexed="81"/>
            <rFont val="Tahoma"/>
            <family val="2"/>
          </rPr>
          <t>jx:area(lastCell="G15")</t>
        </r>
      </text>
    </comment>
    <comment ref="B16" authorId="1" shapeId="0" xr:uid="{A4E8A677-3FEF-4238-9EC4-67AA39896327}">
      <text>
        <r>
          <rPr>
            <b/>
            <sz val="9"/>
            <color indexed="81"/>
            <rFont val="Tahoma"/>
            <family val="2"/>
          </rPr>
          <t xml:space="preserve">jx:area(lastCell="F16")
jx:each (items="claimVO.claimSummary" var="summary" lastCell="F16" select="summary.budgetCategoryCode == 'OST'")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" authorId="2" shapeId="0" xr:uid="{655E4936-16AA-4FEC-A310-73628679ABFB}">
      <text>
        <r>
          <rPr>
            <b/>
            <sz val="9"/>
            <color indexed="81"/>
            <rFont val="Tahoma"/>
            <family val="2"/>
          </rPr>
          <t>jx:area(lastCell="G16")</t>
        </r>
      </text>
    </comment>
    <comment ref="B17" authorId="1" shapeId="0" xr:uid="{F8BC98EF-4B3F-48F8-8013-0CFB64489202}">
      <text>
        <r>
          <rPr>
            <b/>
            <sz val="9"/>
            <color indexed="81"/>
            <rFont val="Tahoma"/>
            <family val="2"/>
          </rPr>
          <t xml:space="preserve">jx:area(lastCell="F17")
jx:each (items="claimVO.claimSummary" var="summary" lastCell="F17" select="summary.budgetCategoryCode == 'RSS'")
</t>
        </r>
      </text>
    </comment>
    <comment ref="G17" authorId="2" shapeId="0" xr:uid="{09CE5B78-7C4A-4915-BD45-2CF2DC64B610}">
      <text>
        <r>
          <rPr>
            <b/>
            <sz val="9"/>
            <color indexed="81"/>
            <rFont val="Tahoma"/>
            <family val="2"/>
          </rPr>
          <t>jx:area(lastCell="G17")</t>
        </r>
      </text>
    </comment>
    <comment ref="A18" authorId="1" shapeId="0" xr:uid="{8BFD5C97-1417-4365-A4A6-EC4A3D68190D}">
      <text>
        <r>
          <rPr>
            <b/>
            <sz val="9"/>
            <color indexed="81"/>
            <rFont val="Tahoma"/>
            <family val="2"/>
          </rPr>
          <t>jx:area(lastCell="G40")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7903BF68-4F7E-44B9-B464-AD47E65E6361}">
      <text>
        <r>
          <rPr>
            <b/>
            <sz val="9"/>
            <color indexed="81"/>
            <rFont val="Tahoma"/>
            <family val="2"/>
          </rPr>
          <t xml:space="preserve">jx:area(lastCell="E22")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" authorId="0" shapeId="0" xr:uid="{C0F89883-32D9-4010-8E08-66B130760BA2}">
      <text>
        <r>
          <rPr>
            <b/>
            <sz val="9"/>
            <color indexed="81"/>
            <rFont val="Tahoma"/>
            <family val="2"/>
          </rPr>
          <t>jx:each(items="claimVO.claimSummaryDetails" var="summary" lastCell="E7")
jx:each(items="summary.groupedTransactions" var="transaction" lastCell="E7")
jx:each(items="transaction.transactions" var="transactions" lastCell="E7")</t>
        </r>
        <r>
          <rPr>
            <sz val="9"/>
            <color indexed="81"/>
            <rFont val="Tahoma"/>
            <family val="2"/>
          </rPr>
          <t xml:space="preserve">
jx:if(condition="summary.budgetCategory.code == 'EOM'", lastCell="E7", areas=["A7:E7”])
</t>
        </r>
      </text>
    </comment>
    <comment ref="A10" authorId="0" shapeId="0" xr:uid="{34F6FEFB-E87F-42C9-8CC6-4CE7C9DB81BB}">
      <text>
        <r>
          <rPr>
            <b/>
            <sz val="9"/>
            <color indexed="81"/>
            <rFont val="Tahoma"/>
            <family val="2"/>
          </rPr>
          <t>jx:each(items="claimVO.claimSummaryDetails" var="summary" lastCell="E10")
jx:each(items="summary.groupedTransactions" var="transaction" lastCell="E10")
jx:each(items="transaction.transactions" var="transactions" lastCell="E10")
jx:if(condition="summary.budgetCategory.code == 'EQT'", lastCell="E10", areas=["A10:E10”]);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B11321FB-A455-4DEA-ABC7-22BF8447CFCE}">
      <text>
        <r>
          <rPr>
            <b/>
            <sz val="9"/>
            <color indexed="81"/>
            <rFont val="Tahoma"/>
            <family val="2"/>
          </rPr>
          <t>jx:each(items="claimVO.claimSummaryDetails" var="summary" lastCell="E13")</t>
        </r>
        <r>
          <rPr>
            <sz val="9"/>
            <color indexed="81"/>
            <rFont val="Tahoma"/>
            <family val="2"/>
          </rPr>
          <t xml:space="preserve">
jx:each(items="summary.groupedTransactions" var="transaction" lastCell="E13")
jx:each(items="transaction.transactions" var="transactions" lastCell="E13")
jx:if(condition="summary.budgetCategory.code == 'OOE'  or summary.budgetCategory.code == 'MAC'", lastCell="E13", areas=["A13:E13”]):</t>
        </r>
      </text>
    </comment>
    <comment ref="A16" authorId="0" shapeId="0" xr:uid="{FC2B1DF5-EB6B-43EB-A200-C81F68965A2C}">
      <text>
        <r>
          <rPr>
            <b/>
            <sz val="9"/>
            <color indexed="81"/>
            <rFont val="Tahoma"/>
            <family val="2"/>
          </rPr>
          <t>jx:each(items="claimVO.claimSummaryDetails" var="summary" lastCell="E16")
jx:each(items="summary.groupedTransactions" var="transaction" lastCell="E16")
jx:each(items="transaction.transactions" var="transactions" lastCell="E16")
jx:if(condition="summary.budgetCategory.code == 'OST'", lastCell="E16", areas=["A16:E16”]):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" authorId="0" shapeId="0" xr:uid="{CF58F1B4-93E2-48B2-9A2C-7EB160E0F058}">
      <text>
        <r>
          <rPr>
            <b/>
            <sz val="9"/>
            <color indexed="81"/>
            <rFont val="Tahoma"/>
            <family val="2"/>
          </rPr>
          <t>jx:each(items="claimVO.claimSummaryDetails" var="summary" lastCell="E19")
jx:each(items="summary.groupedTransactions" var="transaction" lastCell="E19")
jx:each(items="transaction.transactions" var="transactions" lastCell="E19")
jx:if(condition="summary.budgetCategory.code == 'RSS'", lastCell="E19", areas=["A19:E19”]):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<sst xmlns="http://schemas.openxmlformats.org/spreadsheetml/2006/main" count="124" uniqueCount="87">
  <si>
    <t>DRAWDOWN REQUEST (REIMBURSEMENT) FOR QUANTUM ENGINEERING PROGRAMME (QEP)</t>
  </si>
  <si>
    <t>Annex F-1</t>
  </si>
  <si>
    <t>ADMINISTERED BY NATIONAL UNIVERSITY OF SINGAPORE (NUS)</t>
  </si>
  <si>
    <t>FOR THE PERIOD OF</t>
  </si>
  <si>
    <t xml:space="preserve"> ${claimVO.claimStartAndEndYear}</t>
  </si>
  <si>
    <t>Project Title:</t>
  </si>
  <si>
    <t>${claimVO.claim.award.title}</t>
  </si>
  <si>
    <t xml:space="preserve">Project Reference: </t>
  </si>
  <si>
    <t>${claimVO.claim.accountNumber}</t>
  </si>
  <si>
    <t>CONSOLIDATED STATEMENT</t>
  </si>
  <si>
    <t>FI Description</t>
  </si>
  <si>
    <t>Latest Approved Project Budget</t>
  </si>
  <si>
    <t>Current Year Budget</t>
  </si>
  <si>
    <t>Cumulative received from QEPO as at</t>
  </si>
  <si>
    <t xml:space="preserve">Cumulative Expenditure 
as at </t>
  </si>
  <si>
    <t>Expenditure in This Period</t>
  </si>
  <si>
    <t>Funds to be Released to Host Institution for</t>
  </si>
  <si>
    <t>(a)</t>
  </si>
  <si>
    <t>(b)</t>
  </si>
  <si>
    <t>(c)</t>
  </si>
  <si>
    <t>(d) = (b) + (c) -(a)</t>
  </si>
  <si>
    <t>Manpower (EOM)</t>
  </si>
  <si>
    <t>Equipment (EQP)</t>
  </si>
  <si>
    <t>Other Operating Expenses (OOE)</t>
  </si>
  <si>
    <t>Overseas Travel (OT)</t>
  </si>
  <si>
    <t>Research Scholarship (RS)*</t>
  </si>
  <si>
    <t>* RS does not attact IRC</t>
  </si>
  <si>
    <t>Net Funds to be received from QEPO</t>
  </si>
  <si>
    <t>CERTIFICATION BY INSTITUTION / ORGANISATION :</t>
  </si>
  <si>
    <t># Enclose Bank Statement</t>
  </si>
  <si>
    <t>We hereby certify that the particulars provided above are true and correct, and verified against the original source of documents.</t>
  </si>
  <si>
    <t>The request has also been made in accordance to the Terms and Conditions of Quantum Engineering Programme (QEP) grant.</t>
  </si>
  <si>
    <t>Please credit the fund to:</t>
  </si>
  <si>
    <t>Bank Name:</t>
  </si>
  <si>
    <t xml:space="preserve">${claimVO.claim.payeeBank} </t>
  </si>
  <si>
    <t>Bank A/C Holder Name:</t>
  </si>
  <si>
    <t>${claimVO.claim.payeeAccountName}</t>
  </si>
  <si>
    <t>Bank A/C No.:</t>
  </si>
  <si>
    <t>${claimVO.claim.payeeAccountNumber}</t>
  </si>
  <si>
    <t>Name of Principal Investigator of Institution / Organisation :</t>
  </si>
  <si>
    <t>Signature :</t>
  </si>
  <si>
    <t>Date :</t>
  </si>
  <si>
    <t>Name of Finance Officer of Institution / Organisation :</t>
  </si>
  <si>
    <t>${claimVO.claim.foName}</t>
  </si>
  <si>
    <t>Financial Summary report for projects funded by QEP:</t>
  </si>
  <si>
    <t>(A) Details on Expenditure for reporting period :</t>
  </si>
  <si>
    <t>Expense Type</t>
  </si>
  <si>
    <t>Payment Date</t>
  </si>
  <si>
    <t>Indicate Original/Revised Line Item to be matched to this claim</t>
  </si>
  <si>
    <t>Amount (S)</t>
  </si>
  <si>
    <t>Overseas Travel</t>
  </si>
  <si>
    <t>Research Scholarship</t>
  </si>
  <si>
    <t>Total</t>
  </si>
  <si>
    <t>Manpower</t>
  </si>
  <si>
    <t>Other Operating Expenditure</t>
  </si>
  <si>
    <t>$[SUM(U_(E7,E8))]</t>
  </si>
  <si>
    <t>$[ROW()-ROW(A6)]</t>
  </si>
  <si>
    <t>${transactions.descriptionOfExpenditure}</t>
  </si>
  <si>
    <t>${transactions.expenseCode}</t>
  </si>
  <si>
    <t>Equipment</t>
  </si>
  <si>
    <t>$[SUM(U_(E10,E11))]</t>
  </si>
  <si>
    <t>$[ROW()-ROW(A9)]</t>
  </si>
  <si>
    <t>$[SUM(U_(E13,E14))]</t>
  </si>
  <si>
    <t>$[ROW()-ROW(A12)]</t>
  </si>
  <si>
    <t>$[SUM(U_(E16,E17))]</t>
  </si>
  <si>
    <t>$[ROW()-ROW(A15)]</t>
  </si>
  <si>
    <t>$[SUM(U_(E19,E20))]</t>
  </si>
  <si>
    <t>$[ROW()-ROW(A18)]</t>
  </si>
  <si>
    <t>$[SUM(U_(E6,E9,E12,E15,E18))]</t>
  </si>
  <si>
    <t>${claimVO.financialYear}</t>
  </si>
  <si>
    <t>${claimVO.claimStartAndEndYear}</t>
  </si>
  <si>
    <t>${claimVO.claim.rdoName}</t>
  </si>
  <si>
    <t xml:space="preserve">Less Bank Interest earned for ${claimVO.claimStartAndEndYear} #  </t>
  </si>
  <si>
    <t>${transactions.adjustedTotal}</t>
  </si>
  <si>
    <t>${claimVO.lastClaimEndDate}</t>
  </si>
  <si>
    <t>${transactions.postingDate}</t>
  </si>
  <si>
    <t>${(transactions.awardExpenseTransaction.internalOrderCode).substring(15, 20)}</t>
  </si>
  <si>
    <t>${summary.latestApprovedBudget}</t>
  </si>
  <si>
    <t>${summary.originalApprovedBudget}</t>
  </si>
  <si>
    <t>${summary.prevClaimsTotalAmount}</t>
  </si>
  <si>
    <t>${summary.amountRequested}</t>
  </si>
  <si>
    <t>${claimVO.summaryOOE_MACSumValues.latestApprovedBudgetForOOEMAC}</t>
  </si>
  <si>
    <t>${claimVO.summaryOOE_MACSumValues.originalApprovedBudgetForOOEMAC}</t>
  </si>
  <si>
    <t>${claimVO.summaryOOE_MACSumValues.prevClaimsTotalAmountForOOEMAC}</t>
  </si>
  <si>
    <t>${claimVO.summaryOOE_MACSumValues.amountRequestedForOOEMAC}</t>
  </si>
  <si>
    <t>Description of Expenditure Items</t>
  </si>
  <si>
    <t>Indirect Costs (${claimVO.oHPercentage}% Overheads)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</si>
</sst>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14809]d\ mmm\ yyyy;@"/>
    <numFmt numFmtId="166" formatCode="\-"/>
    <numFmt numFmtId="167" formatCode="#,##0.00;[Red]#,##0.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">
    <xf numFmtId="0" fontId="0" fillId="0" borderId="0"/>
    <xf numFmtId="164" fontId="1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2" applyFont="1"/>
    <xf numFmtId="0" fontId="2" fillId="0" borderId="0" xfId="2" applyFont="1" applyAlignment="1">
      <alignment vertical="top"/>
    </xf>
    <xf numFmtId="0" fontId="3" fillId="0" borderId="0" xfId="2"/>
    <xf numFmtId="0" fontId="4" fillId="0" borderId="0" xfId="0" applyFont="1" applyAlignment="1">
      <alignment vertical="center"/>
    </xf>
    <xf numFmtId="0" fontId="3" fillId="0" borderId="0" xfId="2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  <xf numFmtId="0" fontId="7" fillId="0" borderId="0" xfId="0" applyFont="1"/>
    <xf numFmtId="164" fontId="8" fillId="0" borderId="9" xfId="1" applyFont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7" fontId="3" fillId="0" borderId="8" xfId="1" applyNumberFormat="1" applyFont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8" fillId="0" borderId="9" xfId="0" applyFont="1" applyBorder="1"/>
    <xf numFmtId="0" fontId="8" fillId="0" borderId="0" xfId="0" applyFont="1" applyAlignment="1">
      <alignment wrapText="1"/>
    </xf>
    <xf numFmtId="2" fontId="3" fillId="0" borderId="0" xfId="0" applyNumberFormat="1" applyFont="1"/>
    <xf numFmtId="0" fontId="3" fillId="0" borderId="0" xfId="0" applyFont="1" applyAlignment="1">
      <alignment vertical="center"/>
    </xf>
    <xf numFmtId="166" fontId="3" fillId="0" borderId="0" xfId="0" applyNumberFormat="1" applyFont="1"/>
    <xf numFmtId="0" fontId="3" fillId="0" borderId="0" xfId="0" applyFont="1"/>
    <xf numFmtId="39" fontId="3" fillId="0" borderId="0" xfId="1" applyNumberFormat="1" applyFont="1" applyBorder="1" applyAlignment="1">
      <alignment horizontal="right"/>
    </xf>
    <xf numFmtId="0" fontId="8" fillId="0" borderId="0" xfId="0" applyFont="1"/>
    <xf numFmtId="166" fontId="8" fillId="0" borderId="0" xfId="0" applyNumberFormat="1" applyFont="1" applyAlignment="1">
      <alignment horizontal="right"/>
    </xf>
    <xf numFmtId="0" fontId="9" fillId="0" borderId="0" xfId="2" applyFont="1"/>
    <xf numFmtId="0" fontId="10" fillId="0" borderId="0" xfId="2" applyFont="1"/>
    <xf numFmtId="0" fontId="10" fillId="0" borderId="0" xfId="2" applyFont="1" applyAlignment="1">
      <alignment vertical="center"/>
    </xf>
    <xf numFmtId="0" fontId="10" fillId="0" borderId="0" xfId="2" applyFont="1" applyAlignment="1">
      <alignment horizontal="right" vertical="center"/>
    </xf>
    <xf numFmtId="0" fontId="2" fillId="0" borderId="8" xfId="2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4" xfId="2" applyFont="1" applyBorder="1" applyAlignment="1">
      <alignment vertical="center"/>
    </xf>
    <xf numFmtId="0" fontId="2" fillId="0" borderId="8" xfId="2" applyFont="1" applyBorder="1"/>
    <xf numFmtId="0" fontId="2" fillId="0" borderId="4" xfId="2" applyFont="1" applyBorder="1"/>
    <xf numFmtId="0" fontId="7" fillId="0" borderId="0" xfId="2" applyFont="1"/>
    <xf numFmtId="39" fontId="7" fillId="0" borderId="0" xfId="2" applyNumberFormat="1" applyFont="1"/>
    <xf numFmtId="43" fontId="7" fillId="0" borderId="0" xfId="2" applyNumberFormat="1" applyFont="1"/>
    <xf numFmtId="2" fontId="11" fillId="0" borderId="0" xfId="1" applyNumberFormat="1" applyFont="1" applyFill="1" applyBorder="1" applyAlignment="1">
      <alignment horizontal="right"/>
    </xf>
    <xf numFmtId="2" fontId="3" fillId="0" borderId="0" xfId="1" applyNumberFormat="1" applyFont="1" applyFill="1" applyBorder="1" applyAlignment="1">
      <alignment horizontal="right"/>
    </xf>
    <xf numFmtId="166" fontId="3" fillId="0" borderId="0" xfId="1" applyNumberFormat="1" applyFont="1" applyBorder="1" applyAlignment="1">
      <alignment horizontal="right"/>
    </xf>
    <xf numFmtId="0" fontId="3" fillId="0" borderId="0" xfId="2" applyAlignment="1">
      <alignment horizontal="right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vertical="center"/>
    </xf>
    <xf numFmtId="0" fontId="17" fillId="3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0" fontId="15" fillId="2" borderId="5" xfId="0" applyFont="1" applyFill="1" applyBorder="1" applyAlignment="1">
      <alignment vertical="center"/>
    </xf>
    <xf numFmtId="0" fontId="19" fillId="0" borderId="7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7" fillId="2" borderId="4" xfId="0" applyFont="1" applyFill="1" applyBorder="1" applyAlignment="1">
      <alignment vertical="center" wrapText="1"/>
    </xf>
    <xf numFmtId="0" fontId="17" fillId="2" borderId="5" xfId="0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7" fillId="0" borderId="2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5" fontId="3" fillId="0" borderId="7" xfId="0" applyNumberFormat="1" applyFont="1" applyBorder="1" applyAlignment="1">
      <alignment horizontal="left" vertical="center"/>
    </xf>
    <xf numFmtId="15" fontId="15" fillId="0" borderId="6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4" fontId="3" fillId="0" borderId="10" xfId="1" applyNumberFormat="1" applyFont="1" applyBorder="1" applyAlignment="1" applyProtection="1">
      <alignment horizontal="right" vertical="center"/>
      <protection locked="0"/>
    </xf>
    <xf numFmtId="0" fontId="3" fillId="0" borderId="6" xfId="0" applyFont="1" applyBorder="1" applyAlignment="1">
      <alignment horizontal="center" vertical="center"/>
    </xf>
    <xf numFmtId="4" fontId="17" fillId="2" borderId="5" xfId="0" applyNumberFormat="1" applyFont="1" applyFill="1" applyBorder="1" applyAlignment="1">
      <alignment horizontal="right" vertical="center"/>
    </xf>
    <xf numFmtId="4" fontId="3" fillId="0" borderId="6" xfId="0" applyNumberFormat="1" applyFont="1" applyBorder="1" applyAlignment="1">
      <alignment horizontal="right" vertical="center"/>
    </xf>
    <xf numFmtId="4" fontId="15" fillId="0" borderId="6" xfId="0" applyNumberFormat="1" applyFont="1" applyBorder="1" applyAlignment="1">
      <alignment horizontal="right" vertical="center"/>
    </xf>
    <xf numFmtId="4" fontId="17" fillId="0" borderId="2" xfId="0" applyNumberFormat="1" applyFont="1" applyBorder="1" applyAlignment="1">
      <alignment horizontal="right" vertical="center"/>
    </xf>
    <xf numFmtId="0" fontId="4" fillId="0" borderId="0" xfId="2" applyFont="1" applyAlignment="1">
      <alignment horizontal="left" vertical="center"/>
    </xf>
    <xf numFmtId="165" fontId="3" fillId="0" borderId="0" xfId="3" applyNumberFormat="1" applyFont="1" applyBorder="1" applyAlignment="1">
      <alignment horizontal="center" wrapText="1"/>
    </xf>
    <xf numFmtId="0" fontId="17" fillId="0" borderId="2" xfId="0" applyFont="1" applyBorder="1" applyAlignment="1">
      <alignment horizontal="left" vertical="center"/>
    </xf>
    <xf numFmtId="17" fontId="3" fillId="0" borderId="0" xfId="1" applyNumberFormat="1" applyFont="1" applyBorder="1" applyAlignment="1" applyProtection="1">
      <alignment horizontal="center" wrapText="1"/>
      <protection locked="0"/>
    </xf>
    <xf numFmtId="167" fontId="3" fillId="0" borderId="0" xfId="1" applyNumberFormat="1" applyFont="1" applyAlignment="1">
      <alignment horizontal="right" vertical="center"/>
    </xf>
    <xf numFmtId="167" fontId="3" fillId="0" borderId="0" xfId="1" applyNumberFormat="1" applyFont="1" applyAlignment="1" applyProtection="1">
      <alignment horizontal="right" vertical="center" wrapText="1"/>
      <protection locked="0"/>
    </xf>
    <xf numFmtId="167" fontId="3" fillId="0" borderId="0" xfId="1" applyNumberFormat="1" applyFont="1" applyBorder="1" applyAlignment="1" applyProtection="1">
      <alignment horizontal="right" vertical="center"/>
      <protection locked="0"/>
    </xf>
    <xf numFmtId="167" fontId="3" fillId="0" borderId="0" xfId="1" applyNumberFormat="1" applyFont="1" applyAlignment="1">
      <alignment horizontal="right" vertical="center" wrapText="1"/>
    </xf>
    <xf numFmtId="167" fontId="3" fillId="0" borderId="9" xfId="1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17" fillId="2" borderId="3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left" vertical="center"/>
    </xf>
  </cellXfs>
  <cellStyles count="4">
    <cellStyle name="Comma" xfId="1" builtinId="3"/>
    <cellStyle name="Comma 4" xfId="3" xr:uid="{4305AF29-3E2E-440C-915D-C103A8EB5485}"/>
    <cellStyle name="Normal" xfId="0" builtinId="0"/>
    <cellStyle name="Normal 2" xfId="2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5"/>
  <sheetViews>
    <sheetView tabSelected="1" topLeftCell="D10" zoomScaleNormal="100" workbookViewId="0">
      <selection activeCell="G18" sqref="G18"/>
    </sheetView>
  </sheetViews>
  <sheetFormatPr defaultColWidth="9.140625" defaultRowHeight="12.75"/>
  <cols>
    <col min="1" max="1" width="47.140625" style="3" customWidth="1"/>
    <col min="2" max="3" width="20.7109375" style="3" customWidth="1"/>
    <col min="4" max="7" width="25.7109375" style="3" customWidth="1"/>
    <col min="8" max="8" width="20.140625" style="3" customWidth="1"/>
    <col min="9" max="9" width="18.7109375" style="3" customWidth="1"/>
    <col min="10" max="10" width="23" style="3" customWidth="1"/>
    <col min="11" max="11" width="15" style="3" customWidth="1"/>
    <col min="12" max="16384" width="9.140625" style="3"/>
  </cols>
  <sheetData>
    <row r="1" spans="1:15" ht="26.45" customHeight="1">
      <c r="A1" s="4" t="s">
        <v>0</v>
      </c>
      <c r="B1" s="5"/>
      <c r="G1" s="75" t="s">
        <v>1</v>
      </c>
    </row>
    <row r="2" spans="1:15" s="1" customFormat="1" ht="18" customHeight="1">
      <c r="A2" s="6" t="s">
        <v>2</v>
      </c>
      <c r="B2" s="4"/>
      <c r="C2"/>
      <c r="D2"/>
      <c r="E2"/>
      <c r="F2"/>
      <c r="G2"/>
      <c r="H2" s="25"/>
    </row>
    <row r="3" spans="1:15" s="1" customFormat="1" ht="15.75">
      <c r="A3" s="7" t="s">
        <v>3</v>
      </c>
      <c r="B3" s="8" t="s">
        <v>4</v>
      </c>
      <c r="C3"/>
      <c r="D3"/>
      <c r="E3"/>
      <c r="F3"/>
      <c r="G3"/>
      <c r="H3"/>
    </row>
    <row r="4" spans="1:15" s="1" customFormat="1" ht="18" customHeight="1">
      <c r="C4"/>
      <c r="D4"/>
      <c r="E4"/>
      <c r="F4"/>
      <c r="G4"/>
      <c r="H4"/>
    </row>
    <row r="5" spans="1:15" s="1" customFormat="1" ht="18" customHeight="1">
      <c r="A5" s="4" t="s">
        <v>5</v>
      </c>
      <c r="B5" s="84" t="s">
        <v>6</v>
      </c>
      <c r="C5" s="84"/>
      <c r="D5" s="84"/>
      <c r="E5" s="84"/>
      <c r="F5" s="84"/>
      <c r="G5" s="84"/>
      <c r="H5"/>
    </row>
    <row r="6" spans="1:15" s="1" customFormat="1" ht="18" customHeight="1">
      <c r="A6" s="4" t="s">
        <v>7</v>
      </c>
      <c r="B6" s="84" t="s">
        <v>8</v>
      </c>
      <c r="C6" s="84"/>
      <c r="D6" s="84"/>
      <c r="E6" s="84"/>
      <c r="F6" s="84"/>
      <c r="G6" s="84"/>
      <c r="H6"/>
    </row>
    <row r="7" spans="1:15" s="1" customFormat="1" ht="18" customHeight="1">
      <c r="A7" s="9"/>
      <c r="B7" s="9"/>
      <c r="C7"/>
      <c r="D7"/>
      <c r="E7"/>
      <c r="F7"/>
      <c r="G7"/>
      <c r="H7"/>
    </row>
    <row r="8" spans="1:15" s="1" customFormat="1" ht="18" customHeight="1">
      <c r="A8" s="10" t="s">
        <v>9</v>
      </c>
      <c r="B8" s="10"/>
      <c r="C8"/>
      <c r="D8"/>
      <c r="E8"/>
      <c r="F8"/>
      <c r="G8"/>
      <c r="H8"/>
    </row>
    <row r="9" spans="1:15" s="1" customFormat="1" ht="18" customHeight="1">
      <c r="A9" s="11"/>
      <c r="B9" s="11"/>
      <c r="C9" s="11"/>
      <c r="D9" s="11"/>
      <c r="E9" s="11"/>
      <c r="F9" s="11"/>
      <c r="G9" s="11"/>
      <c r="H9"/>
    </row>
    <row r="10" spans="1:15" s="2" customFormat="1" ht="25.5">
      <c r="A10" s="85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</row>
    <row r="11" spans="1:15" s="1" customFormat="1" ht="25.5">
      <c r="A11" s="86"/>
      <c r="B11" s="13"/>
      <c r="C11" s="78" t="s">
        <v>69</v>
      </c>
      <c r="D11" s="76" t="s">
        <v>74</v>
      </c>
      <c r="E11" s="76" t="s">
        <v>74</v>
      </c>
      <c r="F11" s="78" t="s">
        <v>70</v>
      </c>
      <c r="G11" s="78" t="s">
        <v>70</v>
      </c>
    </row>
    <row r="12" spans="1:15" s="1" customFormat="1" ht="14.25">
      <c r="A12" s="87"/>
      <c r="B12" s="14"/>
      <c r="C12" s="15"/>
      <c r="D12" s="15" t="s">
        <v>17</v>
      </c>
      <c r="E12" s="15" t="s">
        <v>18</v>
      </c>
      <c r="F12" s="15" t="s">
        <v>19</v>
      </c>
      <c r="G12" s="15" t="s">
        <v>20</v>
      </c>
    </row>
    <row r="13" spans="1:15" ht="25.7" customHeight="1">
      <c r="A13" s="16" t="s">
        <v>21</v>
      </c>
      <c r="B13" s="79" t="s">
        <v>77</v>
      </c>
      <c r="C13" s="79" t="s">
        <v>78</v>
      </c>
      <c r="D13" s="80" t="s">
        <v>79</v>
      </c>
      <c r="E13" s="80" t="s">
        <v>79</v>
      </c>
      <c r="F13" s="80" t="s">
        <v>80</v>
      </c>
      <c r="G13" s="81" t="e">
        <f t="shared" ref="G13:G17" si="0">E13+F13-D13</f>
        <v>#VALUE!</v>
      </c>
      <c r="I13" s="36"/>
      <c r="J13" s="36"/>
      <c r="K13" s="36"/>
      <c r="L13" s="36"/>
      <c r="M13" s="36"/>
      <c r="N13" s="36"/>
      <c r="O13" s="36"/>
    </row>
    <row r="14" spans="1:15" ht="25.7" customHeight="1">
      <c r="A14" s="16" t="s">
        <v>22</v>
      </c>
      <c r="B14" s="79" t="s">
        <v>77</v>
      </c>
      <c r="C14" s="79" t="s">
        <v>78</v>
      </c>
      <c r="D14" s="80" t="s">
        <v>79</v>
      </c>
      <c r="E14" s="80" t="s">
        <v>79</v>
      </c>
      <c r="F14" s="80" t="s">
        <v>80</v>
      </c>
      <c r="G14" s="81" t="e">
        <f>E14+F14-D14</f>
        <v>#VALUE!</v>
      </c>
      <c r="I14" s="36"/>
      <c r="J14" s="36"/>
      <c r="K14" s="36"/>
      <c r="L14" s="36"/>
      <c r="M14" s="36"/>
      <c r="N14" s="36"/>
      <c r="O14" s="36"/>
    </row>
    <row r="15" spans="1:15" ht="25.7" customHeight="1">
      <c r="A15" s="17" t="s">
        <v>23</v>
      </c>
      <c r="B15" s="82" t="s">
        <v>81</v>
      </c>
      <c r="C15" s="79" t="s">
        <v>82</v>
      </c>
      <c r="D15" s="80" t="s">
        <v>83</v>
      </c>
      <c r="E15" s="80" t="s">
        <v>83</v>
      </c>
      <c r="F15" s="80" t="s">
        <v>84</v>
      </c>
      <c r="G15" s="81" t="e">
        <f t="shared" si="0"/>
        <v>#VALUE!</v>
      </c>
      <c r="I15" s="36"/>
      <c r="J15" s="36"/>
      <c r="K15" s="36"/>
      <c r="L15" s="36"/>
      <c r="M15" s="36"/>
      <c r="N15" s="36"/>
      <c r="O15" s="36"/>
    </row>
    <row r="16" spans="1:15" ht="25.7" customHeight="1">
      <c r="A16" s="17" t="s">
        <v>24</v>
      </c>
      <c r="B16" s="79" t="s">
        <v>77</v>
      </c>
      <c r="C16" s="79" t="s">
        <v>78</v>
      </c>
      <c r="D16" s="80" t="s">
        <v>79</v>
      </c>
      <c r="E16" s="80" t="s">
        <v>79</v>
      </c>
      <c r="F16" s="80" t="s">
        <v>80</v>
      </c>
      <c r="G16" s="81" t="e">
        <f t="shared" si="0"/>
        <v>#VALUE!</v>
      </c>
      <c r="I16" s="37"/>
      <c r="J16" s="38"/>
      <c r="K16" s="38"/>
      <c r="L16" s="36"/>
      <c r="M16" s="36"/>
      <c r="N16" s="36"/>
      <c r="O16" s="38"/>
    </row>
    <row r="17" spans="1:15" ht="25.7" customHeight="1">
      <c r="A17" s="17" t="s">
        <v>25</v>
      </c>
      <c r="B17" s="79" t="s">
        <v>77</v>
      </c>
      <c r="C17" s="79" t="s">
        <v>78</v>
      </c>
      <c r="D17" s="80" t="s">
        <v>79</v>
      </c>
      <c r="E17" s="80" t="s">
        <v>79</v>
      </c>
      <c r="F17" s="80" t="s">
        <v>80</v>
      </c>
      <c r="G17" s="81" t="e">
        <f t="shared" si="0"/>
        <v>#VALUE!</v>
      </c>
      <c r="I17" s="37"/>
      <c r="J17" s="38"/>
      <c r="K17" s="38"/>
      <c r="L17" s="36"/>
      <c r="M17" s="36"/>
      <c r="N17" s="36"/>
      <c r="O17" s="38"/>
    </row>
    <row r="18" spans="1:15" ht="25.7" customHeight="1">
      <c r="A18" s="17" t="s">
        <v>86</v>
      </c>
      <c r="B18" s="79" cm="1">
        <f t="array" aca="1" ref="B18" ca="1">SUMPRODUCT(MID(0&amp;A18, LARGE(INDEX(ISNUMBER(--MID(A18, ROW(INDIRECT("1:"&amp;LEN(A18))), 1)) * ROW(INDIRECT("1:"&amp;LEN(A18))), 0), ROW(INDIRECT("1:"&amp;LEN(A18))))+1, 1) * 10^ROW(INDIRECT("1:"&amp;LEN(A18)))/10)%*SUM(B13:B16)</f>
        <v>0</v>
      </c>
      <c r="C18" s="79" cm="1">
        <f t="array" aca="1" ref="C18" ca="1">SUMPRODUCT(MID(0&amp;A18, LARGE(INDEX(ISNUMBER(--MID(A18, ROW(INDIRECT("1:"&amp;LEN(A18))), 1)) * ROW(INDIRECT("1:"&amp;LEN(A18))), 0), ROW(INDIRECT("1:"&amp;LEN(A18))))+1, 1) * 10^ROW(INDIRECT("1:"&amp;LEN(A18)))/10)%*SUM(C13:C16)</f>
        <v>0</v>
      </c>
      <c r="D18" s="79" cm="1">
        <f t="array" aca="1" ref="D18" ca="1">SUMPRODUCT(MID(0&amp;A18, LARGE(INDEX(ISNUMBER(--MID(A18, ROW(INDIRECT("1:"&amp;LEN(A18))), 1)) * ROW(INDIRECT("1:"&amp;LEN(A18))), 0), ROW(INDIRECT("1:"&amp;LEN(A18))))+1, 1) * 10^ROW(INDIRECT("1:"&amp;LEN(A18)))/10)%*SUM(D13:D16)</f>
        <v>0</v>
      </c>
      <c r="E18" s="79" cm="1">
        <f t="array" aca="1" ref="E18" ca="1">SUMPRODUCT(MID(0&amp;A18, LARGE(INDEX(ISNUMBER(--MID(A18, ROW(INDIRECT("1:"&amp;LEN(A18))), 1)) * ROW(INDIRECT("1:"&amp;LEN(A18))), 0), ROW(INDIRECT("1:"&amp;LEN(A18))))+1, 1) * 10^ROW(INDIRECT("1:"&amp;LEN(A18)))/10)%*SUM(E13:E16)</f>
        <v>0</v>
      </c>
      <c r="F18" s="79" cm="1">
        <f t="array" aca="1" ref="F18" ca="1">SUMPRODUCT(MID(0&amp;A18, LARGE(INDEX(ISNUMBER(--MID(A18, ROW(INDIRECT("1:"&amp;LEN(A18))), 1)) * ROW(INDIRECT("1:"&amp;LEN(A18))), 0), ROW(INDIRECT("1:"&amp;LEN(A18))))+1, 1) * 10^ROW(INDIRECT("1:"&amp;LEN(A18)))/10)%*SUM(F13:F16)</f>
        <v>0</v>
      </c>
      <c r="G18" s="81">
        <f ca="1">E18+F18-D18</f>
        <v>0</v>
      </c>
      <c r="I18" s="37"/>
      <c r="J18" s="38"/>
      <c r="K18" s="38"/>
      <c r="L18" s="36"/>
      <c r="M18" s="36"/>
      <c r="N18" s="36"/>
      <c r="O18" s="38"/>
    </row>
    <row r="19" spans="1:15" ht="25.7" customHeight="1">
      <c r="A19" s="18"/>
      <c r="B19" s="83">
        <f ca="1">SUM(B13:B18)</f>
        <v>0</v>
      </c>
      <c r="C19" s="83">
        <f t="shared" ref="C19:G19" ca="1" si="1">SUM(C13:C18)</f>
        <v>0</v>
      </c>
      <c r="D19" s="83">
        <f t="shared" ca="1" si="1"/>
        <v>0</v>
      </c>
      <c r="E19" s="83">
        <f t="shared" ca="1" si="1"/>
        <v>0</v>
      </c>
      <c r="F19" s="83">
        <f t="shared" ca="1" si="1"/>
        <v>0</v>
      </c>
      <c r="G19" s="83" t="e">
        <f t="shared" si="1"/>
        <v>#VALUE!</v>
      </c>
      <c r="I19" s="37"/>
      <c r="J19" s="38"/>
      <c r="K19" s="38"/>
      <c r="L19" s="36"/>
      <c r="M19" s="36"/>
      <c r="N19" s="36"/>
      <c r="O19" s="38"/>
    </row>
    <row r="20" spans="1:15" ht="18.75" customHeight="1">
      <c r="A20" s="19"/>
      <c r="B20" s="20"/>
      <c r="C20" s="20"/>
      <c r="D20" s="20"/>
      <c r="E20" s="20"/>
      <c r="F20" s="20"/>
      <c r="G20" s="39"/>
      <c r="I20" s="37"/>
      <c r="J20" s="38"/>
      <c r="K20" s="38"/>
      <c r="L20" s="36"/>
      <c r="M20" s="36"/>
      <c r="N20" s="36"/>
      <c r="O20" s="38"/>
    </row>
    <row r="21" spans="1:15" ht="18.75" customHeight="1">
      <c r="A21" s="21" t="s">
        <v>26</v>
      </c>
      <c r="B21" s="22"/>
      <c r="C21" s="22"/>
      <c r="D21" s="22"/>
      <c r="E21" s="23"/>
      <c r="F21" s="24" t="s">
        <v>72</v>
      </c>
      <c r="G21" s="40"/>
      <c r="I21" s="37"/>
      <c r="J21" s="38"/>
      <c r="K21" s="38"/>
      <c r="L21" s="36"/>
      <c r="M21" s="36"/>
      <c r="N21" s="36"/>
      <c r="O21" s="38"/>
    </row>
    <row r="22" spans="1:15" ht="18.75" customHeight="1">
      <c r="A22" s="25"/>
      <c r="B22" s="22"/>
      <c r="C22" s="22"/>
      <c r="D22" s="22"/>
      <c r="E22" s="22"/>
      <c r="F22" s="26" t="s">
        <v>27</v>
      </c>
      <c r="G22" s="69" t="e">
        <f>G19+G21</f>
        <v>#VALUE!</v>
      </c>
      <c r="I22" s="37"/>
      <c r="J22" s="38"/>
      <c r="K22" s="38"/>
      <c r="L22" s="36"/>
      <c r="M22" s="36"/>
      <c r="N22" s="36"/>
      <c r="O22" s="38"/>
    </row>
    <row r="23" spans="1:15" ht="15" customHeight="1">
      <c r="A23" s="25"/>
      <c r="B23" s="22"/>
      <c r="C23" s="22"/>
      <c r="D23" s="22"/>
      <c r="E23" s="22"/>
      <c r="F23" s="22"/>
      <c r="G23" s="41"/>
      <c r="I23" s="37"/>
      <c r="J23" s="38"/>
      <c r="K23" s="38"/>
      <c r="L23" s="36"/>
      <c r="M23" s="36"/>
      <c r="N23" s="36"/>
      <c r="O23" s="38"/>
    </row>
    <row r="24" spans="1:15" ht="15">
      <c r="A24" s="27" t="s">
        <v>28</v>
      </c>
      <c r="B24" s="27"/>
      <c r="C24" s="1"/>
      <c r="D24" s="1"/>
      <c r="E24" s="1"/>
      <c r="F24" s="1"/>
      <c r="G24" s="42" t="s">
        <v>29</v>
      </c>
      <c r="I24" s="1"/>
    </row>
    <row r="25" spans="1:15" ht="14.25">
      <c r="A25" s="1" t="s">
        <v>30</v>
      </c>
      <c r="B25" s="1"/>
      <c r="C25" s="1"/>
      <c r="D25" s="1"/>
      <c r="E25" s="1"/>
      <c r="F25" s="1"/>
      <c r="G25" s="1"/>
      <c r="H25" s="1"/>
      <c r="I25" s="1"/>
    </row>
    <row r="26" spans="1:15" ht="14.25">
      <c r="A26" s="1" t="s">
        <v>31</v>
      </c>
      <c r="B26" s="1"/>
      <c r="C26" s="1"/>
      <c r="D26" s="1"/>
      <c r="E26" s="1"/>
      <c r="F26" s="1"/>
      <c r="G26" s="1"/>
      <c r="H26" s="1"/>
      <c r="I26" s="1"/>
    </row>
    <row r="27" spans="1:15" ht="14.25">
      <c r="A27" s="1"/>
      <c r="B27" s="1"/>
      <c r="C27" s="1"/>
      <c r="D27" s="1"/>
      <c r="E27" s="1"/>
      <c r="F27" s="1"/>
      <c r="G27" s="1"/>
      <c r="H27" s="1"/>
      <c r="I27" s="1"/>
    </row>
    <row r="28" spans="1:15" ht="15">
      <c r="A28" s="28" t="s">
        <v>32</v>
      </c>
      <c r="B28" s="28"/>
      <c r="C28" s="1"/>
      <c r="D28" s="1"/>
      <c r="E28" s="1"/>
      <c r="F28" s="1"/>
      <c r="G28" s="1"/>
      <c r="H28" s="1"/>
      <c r="I28" s="1"/>
    </row>
    <row r="29" spans="1:15" ht="20.100000000000001" customHeight="1">
      <c r="A29" s="29"/>
      <c r="B29" s="30" t="s">
        <v>33</v>
      </c>
      <c r="C29" s="31" t="s">
        <v>34</v>
      </c>
      <c r="D29" s="31"/>
      <c r="F29" s="32"/>
      <c r="G29" s="1"/>
      <c r="H29" s="1"/>
      <c r="I29" s="1"/>
    </row>
    <row r="30" spans="1:15" ht="20.100000000000001" customHeight="1">
      <c r="A30" s="29"/>
      <c r="B30" s="30" t="s">
        <v>35</v>
      </c>
      <c r="C30" s="33" t="s">
        <v>36</v>
      </c>
      <c r="D30" s="33"/>
      <c r="F30" s="32"/>
      <c r="G30" s="1"/>
      <c r="H30" s="1"/>
      <c r="I30" s="1"/>
    </row>
    <row r="31" spans="1:15" ht="20.100000000000001" customHeight="1">
      <c r="A31" s="29"/>
      <c r="B31" s="30" t="s">
        <v>37</v>
      </c>
      <c r="C31" s="33" t="s">
        <v>38</v>
      </c>
      <c r="D31" s="33"/>
      <c r="F31" s="32"/>
      <c r="G31" s="1"/>
      <c r="H31" s="1"/>
      <c r="I31" s="1"/>
    </row>
    <row r="32" spans="1:15" ht="20.100000000000001" customHeight="1">
      <c r="A32" s="1"/>
      <c r="B32" s="1"/>
      <c r="C32" s="1"/>
      <c r="D32" s="1"/>
      <c r="F32" s="1"/>
      <c r="G32" s="1"/>
      <c r="H32" s="1"/>
      <c r="I32" s="1"/>
    </row>
    <row r="33" spans="1:9" ht="20.100000000000001" customHeight="1">
      <c r="A33" s="1" t="s">
        <v>39</v>
      </c>
      <c r="B33" s="1"/>
      <c r="C33" s="34" t="s">
        <v>71</v>
      </c>
      <c r="D33" s="34"/>
      <c r="F33" s="1"/>
      <c r="G33" s="1"/>
      <c r="H33" s="1"/>
      <c r="I33" s="1"/>
    </row>
    <row r="34" spans="1:9" ht="42" customHeight="1">
      <c r="A34" s="1" t="s">
        <v>40</v>
      </c>
      <c r="B34" s="1"/>
      <c r="C34" s="34"/>
      <c r="D34" s="34"/>
      <c r="F34" s="1"/>
      <c r="G34" s="1"/>
      <c r="H34" s="1"/>
      <c r="I34" s="1"/>
    </row>
    <row r="35" spans="1:9" ht="20.100000000000001" customHeight="1">
      <c r="A35" s="1" t="s">
        <v>41</v>
      </c>
      <c r="B35" s="1"/>
      <c r="C35" s="35"/>
      <c r="D35" s="35"/>
      <c r="F35" s="1"/>
      <c r="G35" s="1"/>
      <c r="H35" s="1"/>
      <c r="I35" s="1"/>
    </row>
    <row r="36" spans="1:9" ht="20.100000000000001" customHeight="1">
      <c r="A36" s="1"/>
      <c r="B36" s="1"/>
      <c r="C36" s="1"/>
      <c r="D36" s="1"/>
      <c r="F36" s="1"/>
      <c r="G36" s="1"/>
      <c r="H36" s="1"/>
      <c r="I36" s="1"/>
    </row>
    <row r="37" spans="1:9" ht="20.100000000000001" customHeight="1">
      <c r="A37" s="1" t="s">
        <v>42</v>
      </c>
      <c r="B37" s="1"/>
      <c r="C37" s="34" t="s">
        <v>43</v>
      </c>
      <c r="D37" s="34"/>
      <c r="F37" s="1"/>
      <c r="G37" s="1"/>
      <c r="H37" s="1"/>
      <c r="I37" s="1"/>
    </row>
    <row r="38" spans="1:9" ht="39.75" customHeight="1">
      <c r="A38" s="1" t="s">
        <v>40</v>
      </c>
      <c r="B38" s="1"/>
      <c r="C38" s="35"/>
      <c r="D38" s="35"/>
      <c r="F38" s="1"/>
      <c r="G38" s="1"/>
      <c r="H38" s="1"/>
      <c r="I38" s="1"/>
    </row>
    <row r="39" spans="1:9" ht="20.100000000000001" customHeight="1">
      <c r="A39" s="1" t="s">
        <v>41</v>
      </c>
      <c r="B39" s="1"/>
      <c r="C39" s="35"/>
      <c r="D39" s="35"/>
      <c r="F39" s="1"/>
      <c r="G39" s="1"/>
      <c r="H39" s="1"/>
      <c r="I39" s="1"/>
    </row>
    <row r="40" spans="1:9" ht="14.25">
      <c r="A40" s="1"/>
      <c r="B40" s="1"/>
      <c r="C40" s="1"/>
      <c r="D40" s="1"/>
      <c r="E40" s="1"/>
      <c r="F40" s="1"/>
      <c r="G40" s="1"/>
      <c r="H40" s="1"/>
      <c r="I40" s="1"/>
    </row>
    <row r="41" spans="1:9" ht="14.25">
      <c r="A41" s="1"/>
      <c r="B41" s="1"/>
      <c r="C41" s="1"/>
      <c r="D41" s="1"/>
      <c r="E41" s="1"/>
      <c r="F41" s="1"/>
      <c r="G41" s="1"/>
      <c r="H41" s="1"/>
      <c r="I41" s="1"/>
    </row>
    <row r="42" spans="1:9" ht="14.25">
      <c r="B42" s="1"/>
      <c r="C42" s="1"/>
      <c r="D42" s="1"/>
      <c r="E42" s="1"/>
      <c r="F42" s="1"/>
      <c r="G42" s="1"/>
      <c r="H42" s="1"/>
      <c r="I42" s="1"/>
    </row>
    <row r="43" spans="1:9" ht="14.25">
      <c r="A43" s="1"/>
      <c r="B43" s="1"/>
      <c r="C43" s="1"/>
      <c r="D43" s="1"/>
      <c r="E43" s="1"/>
      <c r="F43" s="1"/>
      <c r="G43" s="1"/>
      <c r="H43" s="1"/>
      <c r="I43" s="1"/>
    </row>
    <row r="44" spans="1:9" ht="14.25">
      <c r="A44" s="1"/>
      <c r="B44" s="1"/>
      <c r="C44" s="1"/>
      <c r="D44" s="1"/>
      <c r="E44" s="1"/>
      <c r="F44" s="1"/>
      <c r="G44" s="1"/>
      <c r="H44" s="1"/>
      <c r="I44" s="1"/>
    </row>
    <row r="45" spans="1:9" ht="14.25">
      <c r="A45" s="1"/>
      <c r="B45" s="1"/>
      <c r="C45" s="1"/>
      <c r="D45" s="1"/>
      <c r="E45" s="1"/>
      <c r="F45" s="1"/>
      <c r="G45" s="1"/>
      <c r="H45" s="1"/>
      <c r="I45" s="1"/>
    </row>
  </sheetData>
  <mergeCells count="3">
    <mergeCell ref="B5:G5"/>
    <mergeCell ref="B6:G6"/>
    <mergeCell ref="A10:A12"/>
  </mergeCells>
  <pageMargins left="0.7" right="0.7" top="0.75" bottom="0.75" header="0.3" footer="0.3"/>
  <pageSetup paperSize="9" scale="5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="70" zoomScaleNormal="70" workbookViewId="0">
      <selection activeCell="E14" sqref="E14"/>
    </sheetView>
  </sheetViews>
  <sheetFormatPr defaultColWidth="8.7109375" defaultRowHeight="14.25"/>
  <cols>
    <col min="1" max="2" width="14" style="46" customWidth="1"/>
    <col min="3" max="3" width="60" style="46" customWidth="1"/>
    <col min="4" max="4" width="23.85546875" style="46" customWidth="1"/>
    <col min="5" max="5" width="18.7109375" style="64" customWidth="1"/>
    <col min="6" max="16384" width="8.7109375" style="46"/>
  </cols>
  <sheetData>
    <row r="1" spans="1:5">
      <c r="A1" s="43" t="s">
        <v>44</v>
      </c>
      <c r="B1" s="43"/>
      <c r="C1" s="44"/>
      <c r="D1" s="44"/>
      <c r="E1" s="45"/>
    </row>
    <row r="2" spans="1:5">
      <c r="A2" s="44"/>
      <c r="B2" s="44"/>
      <c r="C2" s="44"/>
      <c r="D2" s="44"/>
      <c r="E2" s="45"/>
    </row>
    <row r="3" spans="1:5">
      <c r="A3" s="47" t="s">
        <v>45</v>
      </c>
      <c r="B3" s="47"/>
      <c r="C3" s="44"/>
      <c r="D3" s="44"/>
      <c r="E3" s="48" t="s">
        <v>4</v>
      </c>
    </row>
    <row r="4" spans="1:5">
      <c r="A4" s="44"/>
      <c r="B4" s="44"/>
      <c r="C4" s="44"/>
      <c r="D4" s="44"/>
      <c r="E4" s="45"/>
    </row>
    <row r="5" spans="1:5" ht="57" customHeight="1">
      <c r="A5" s="49" t="s">
        <v>46</v>
      </c>
      <c r="B5" s="49" t="s">
        <v>47</v>
      </c>
      <c r="C5" s="50" t="s">
        <v>85</v>
      </c>
      <c r="D5" s="49" t="s">
        <v>48</v>
      </c>
      <c r="E5" s="51" t="s">
        <v>49</v>
      </c>
    </row>
    <row r="6" spans="1:5">
      <c r="A6" s="52" t="s">
        <v>53</v>
      </c>
      <c r="B6" s="53"/>
      <c r="C6" s="54"/>
      <c r="D6" s="55"/>
      <c r="E6" s="71" t="s">
        <v>55</v>
      </c>
    </row>
    <row r="7" spans="1:5">
      <c r="A7" s="70" t="s">
        <v>56</v>
      </c>
      <c r="B7" s="66" t="s">
        <v>75</v>
      </c>
      <c r="C7" s="56" t="s">
        <v>57</v>
      </c>
      <c r="D7" s="68" t="s">
        <v>58</v>
      </c>
      <c r="E7" s="72" t="s">
        <v>73</v>
      </c>
    </row>
    <row r="8" spans="1:5">
      <c r="A8" s="57"/>
      <c r="B8" s="57"/>
      <c r="C8" s="57"/>
      <c r="D8" s="57"/>
      <c r="E8" s="58"/>
    </row>
    <row r="9" spans="1:5">
      <c r="A9" s="52" t="s">
        <v>59</v>
      </c>
      <c r="B9" s="59"/>
      <c r="C9" s="59"/>
      <c r="D9" s="60"/>
      <c r="E9" s="71" t="s">
        <v>60</v>
      </c>
    </row>
    <row r="10" spans="1:5">
      <c r="A10" s="58" t="s">
        <v>61</v>
      </c>
      <c r="B10" s="67" t="s">
        <v>75</v>
      </c>
      <c r="C10" s="65" t="s">
        <v>57</v>
      </c>
      <c r="D10" s="65" t="s">
        <v>76</v>
      </c>
      <c r="E10" s="73" t="s">
        <v>73</v>
      </c>
    </row>
    <row r="11" spans="1:5">
      <c r="A11" s="57"/>
      <c r="B11" s="57"/>
      <c r="C11" s="57"/>
      <c r="D11" s="57"/>
      <c r="E11" s="58"/>
    </row>
    <row r="12" spans="1:5">
      <c r="A12" s="52" t="s">
        <v>54</v>
      </c>
      <c r="B12" s="53"/>
      <c r="C12" s="53"/>
      <c r="D12" s="61"/>
      <c r="E12" s="71" t="s">
        <v>62</v>
      </c>
    </row>
    <row r="13" spans="1:5">
      <c r="A13" s="58" t="s">
        <v>63</v>
      </c>
      <c r="B13" s="67" t="s">
        <v>75</v>
      </c>
      <c r="C13" s="65" t="s">
        <v>57</v>
      </c>
      <c r="D13" s="65" t="s">
        <v>76</v>
      </c>
      <c r="E13" s="73" t="s">
        <v>73</v>
      </c>
    </row>
    <row r="14" spans="1:5">
      <c r="A14" s="58"/>
      <c r="B14" s="58"/>
      <c r="C14" s="57"/>
      <c r="D14" s="57"/>
      <c r="E14" s="58"/>
    </row>
    <row r="15" spans="1:5">
      <c r="A15" s="88" t="s">
        <v>50</v>
      </c>
      <c r="B15" s="89"/>
      <c r="C15" s="89"/>
      <c r="D15" s="61"/>
      <c r="E15" s="71" t="s">
        <v>64</v>
      </c>
    </row>
    <row r="16" spans="1:5">
      <c r="A16" s="58" t="s">
        <v>65</v>
      </c>
      <c r="B16" s="67" t="s">
        <v>75</v>
      </c>
      <c r="C16" s="65" t="s">
        <v>57</v>
      </c>
      <c r="D16" s="65" t="s">
        <v>76</v>
      </c>
      <c r="E16" s="73" t="s">
        <v>73</v>
      </c>
    </row>
    <row r="17" spans="1:5">
      <c r="A17" s="58"/>
      <c r="B17" s="58"/>
      <c r="C17" s="57"/>
      <c r="D17" s="57"/>
      <c r="E17" s="58"/>
    </row>
    <row r="18" spans="1:5">
      <c r="A18" s="88" t="s">
        <v>51</v>
      </c>
      <c r="B18" s="89"/>
      <c r="C18" s="89"/>
      <c r="D18" s="61"/>
      <c r="E18" s="71" t="s">
        <v>66</v>
      </c>
    </row>
    <row r="19" spans="1:5">
      <c r="A19" s="58" t="s">
        <v>67</v>
      </c>
      <c r="B19" s="67" t="s">
        <v>75</v>
      </c>
      <c r="C19" s="65" t="s">
        <v>57</v>
      </c>
      <c r="D19" s="65" t="s">
        <v>76</v>
      </c>
      <c r="E19" s="73" t="s">
        <v>73</v>
      </c>
    </row>
    <row r="20" spans="1:5">
      <c r="A20" s="58"/>
      <c r="B20" s="58"/>
      <c r="C20" s="57"/>
      <c r="D20" s="57"/>
      <c r="E20" s="58"/>
    </row>
    <row r="21" spans="1:5">
      <c r="A21" s="62"/>
      <c r="B21" s="62"/>
      <c r="C21" s="63"/>
      <c r="D21" s="77" t="s">
        <v>52</v>
      </c>
      <c r="E21" s="74" t="s">
        <v>68</v>
      </c>
    </row>
    <row r="22" spans="1:5">
      <c r="A22" s="44"/>
      <c r="B22" s="44"/>
      <c r="C22" s="44"/>
      <c r="D22" s="44"/>
      <c r="E22" s="45"/>
    </row>
  </sheetData>
  <mergeCells count="2">
    <mergeCell ref="A15:C15"/>
    <mergeCell ref="A18:C18"/>
  </mergeCells>
  <pageMargins left="0.70866141732283505" right="0.70866141732283505" top="0.74803149606299202" bottom="0.74803149606299202" header="0.31496062992126" footer="0.31496062992126"/>
  <pageSetup paperSize="9" scale="84" orientation="portrait" r:id="rId1"/>
  <rowBreaks count="1" manualBreakCount="1">
    <brk id="63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Annex - details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Aswathy Raj</cp:lastModifiedBy>
  <cp:lastPrinted>2019-03-11T11:57:00Z</cp:lastPrinted>
  <dcterms:created xsi:type="dcterms:W3CDTF">2018-08-14T03:13:00Z</dcterms:created>
  <dcterms:modified xsi:type="dcterms:W3CDTF">2023-04-19T07:37:25Z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0E0FEAFC6BFD4761A9ECE96C3620E75E</vt:lpwstr>
  </property>
  <property fmtid="{D5CDD505-2E9C-101B-9397-08002B2CF9AE}" pid="3" name="KSOProductBuildVer">
    <vt:lpwstr>1033-11.2.0.11029</vt:lpwstr>
  </property>
</Properties>
</file>