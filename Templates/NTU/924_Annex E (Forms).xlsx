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showInkAnnotation="0" defaultThemeVersion="124226"/>
  <mc:AlternateContent xmlns:mc="http://schemas.openxmlformats.org/markup-compatibility/2006">
    <mc:Choice Requires="x15">
      <x15ac:absPath xmlns:x15ac="http://schemas.microsoft.com/office/spreadsheetml/2010/11/ac" url="C:\Users\aswathy.raj\Downloads\Claim templates stage instance\changed templates\"/>
    </mc:Choice>
  </mc:AlternateContent>
  <xr:revisionPtr revIDLastSave="0" documentId="13_ncr:1_{1C33C29C-0857-4E73-BD88-7596D7436FE2}" xr6:coauthVersionLast="47" xr6:coauthVersionMax="47" xr10:uidLastSave="{00000000-0000-0000-0000-000000000000}"/>
  <bookViews>
    <workbookView xWindow="-120" yWindow="-120" windowWidth="20730" windowHeight="11160" activeTab="1" xr2:uid="{00000000-000D-0000-FFFF-FFFF00000000}"/>
  </bookViews>
  <sheets>
    <sheet name="Annex E-1" sheetId="1" r:id="rId1"/>
    <sheet name="Annex E-2" sheetId="2" r:id="rId2"/>
    <sheet name="Annex E-3" sheetId="3" r:id="rId3"/>
    <sheet name="Sheet1" sheetId="6" state="hidden" r:id="rId4"/>
    <sheet name="Annex E-4" sheetId="4" state="hidden" r:id="rId5"/>
    <sheet name="Annex E-5" sheetId="5" state="hidden" r:id="rId6"/>
  </sheets>
  <definedNames>
    <definedName name="_xlnm.Print_Area" localSheetId="0">'Annex E-1'!$A$1:$H$37</definedName>
    <definedName name="_xlnm.Print_Area" localSheetId="1">'Annex E-2'!$A$1:$J$38</definedName>
    <definedName name="_xlnm.Print_Area" localSheetId="2">'Annex E-3'!$A$1:$H$20</definedName>
    <definedName name="_xlnm.Print_Area" localSheetId="5">'Annex E-5'!$A:$I</definedName>
    <definedName name="Z_2C6533C7_057C_4A7C_ABD2_7930463500B1_.wvu.PrintArea" localSheetId="0" hidden="1">'Annex E-1'!$A$1:$H$37</definedName>
    <definedName name="Z_2C6533C7_057C_4A7C_ABD2_7930463500B1_.wvu.PrintArea" localSheetId="1" hidden="1">'Annex E-2'!$A$1:$J$38</definedName>
    <definedName name="Z_2C6533C7_057C_4A7C_ABD2_7930463500B1_.wvu.PrintArea" localSheetId="2" hidden="1">'Annex E-3'!$A$1:$H$20</definedName>
    <definedName name="Z_2C6533C7_057C_4A7C_ABD2_7930463500B1_.wvu.PrintArea" localSheetId="5" hidden="1">'Annex E-5'!$A:$I</definedName>
    <definedName name="Z_2D0FF612_2C81_4DE3_A53A_2E50C9075D5D_.wvu.PrintArea" localSheetId="0" hidden="1">'Annex E-1'!$A$1:$H$37</definedName>
    <definedName name="Z_2D0FF612_2C81_4DE3_A53A_2E50C9075D5D_.wvu.PrintArea" localSheetId="1" hidden="1">'Annex E-2'!$A$1:$J$38</definedName>
    <definedName name="Z_2D0FF612_2C81_4DE3_A53A_2E50C9075D5D_.wvu.PrintArea" localSheetId="5" hidden="1">'Annex E-5'!$A:$I</definedName>
    <definedName name="Z_429F8305_68BB_4ABC_90C3_15F066891119_.wvu.PrintArea" localSheetId="0" hidden="1">'Annex E-1'!$A$1:$H$37</definedName>
    <definedName name="Z_429F8305_68BB_4ABC_90C3_15F066891119_.wvu.PrintArea" localSheetId="1" hidden="1">'Annex E-2'!$A$1:$J$38</definedName>
    <definedName name="Z_429F8305_68BB_4ABC_90C3_15F066891119_.wvu.PrintArea" localSheetId="2" hidden="1">'Annex E-3'!$A$1:$H$20</definedName>
    <definedName name="Z_429F8305_68BB_4ABC_90C3_15F066891119_.wvu.PrintArea" localSheetId="5" hidden="1">'Annex E-5'!$A:$I</definedName>
    <definedName name="Z_5401927F_BD7B_4D49_AE97_64368FC18A60_.wvu.PrintArea" localSheetId="0" hidden="1">'Annex E-1'!$A$1:$H$37</definedName>
    <definedName name="Z_5401927F_BD7B_4D49_AE97_64368FC18A60_.wvu.PrintArea" localSheetId="1" hidden="1">'Annex E-2'!$A$1:$J$38</definedName>
    <definedName name="Z_5401927F_BD7B_4D49_AE97_64368FC18A60_.wvu.PrintArea" localSheetId="2" hidden="1">'Annex E-3'!$A$1:$H$20</definedName>
    <definedName name="Z_5401927F_BD7B_4D49_AE97_64368FC18A60_.wvu.PrintArea" localSheetId="5" hidden="1">'Annex E-5'!$A:$I</definedName>
    <definedName name="Z_8308D2E1_AB86_4CA4_BE3B_ED4FFBF05815_.wvu.PrintArea" localSheetId="0" hidden="1">'Annex E-1'!$A$1:$H$37</definedName>
    <definedName name="Z_8308D2E1_AB86_4CA4_BE3B_ED4FFBF05815_.wvu.PrintArea" localSheetId="1" hidden="1">'Annex E-2'!$A$1:$J$38</definedName>
    <definedName name="Z_8308D2E1_AB86_4CA4_BE3B_ED4FFBF05815_.wvu.PrintArea" localSheetId="2" hidden="1">'Annex E-3'!$A$1:$H$20</definedName>
    <definedName name="Z_8308D2E1_AB86_4CA4_BE3B_ED4FFBF05815_.wvu.PrintArea" localSheetId="5" hidden="1">'Annex E-5'!$A:$I</definedName>
    <definedName name="Z_92A3E7EB_B758_49DF_97DF_5A8D46E78E41_.wvu.PrintArea" localSheetId="0" hidden="1">'Annex E-1'!$A$1:$H$37</definedName>
    <definedName name="Z_92A3E7EB_B758_49DF_97DF_5A8D46E78E41_.wvu.PrintArea" localSheetId="1" hidden="1">'Annex E-2'!$A$1:$J$38</definedName>
    <definedName name="Z_92A3E7EB_B758_49DF_97DF_5A8D46E78E41_.wvu.PrintArea" localSheetId="2" hidden="1">'Annex E-3'!$A$1:$H$20</definedName>
    <definedName name="Z_92A3E7EB_B758_49DF_97DF_5A8D46E78E41_.wvu.PrintArea" localSheetId="5" hidden="1">'Annex E-5'!$A:$I</definedName>
    <definedName name="Z_F44AC75F_827A_46B7_974C_E8545DF2AEDE_.wvu.PrintArea" localSheetId="0" hidden="1">'Annex E-1'!$A$1:$H$37</definedName>
    <definedName name="Z_F44AC75F_827A_46B7_974C_E8545DF2AEDE_.wvu.PrintArea" localSheetId="1" hidden="1">'Annex E-2'!$A$1:$J$38</definedName>
    <definedName name="Z_F44AC75F_827A_46B7_974C_E8545DF2AEDE_.wvu.PrintArea" localSheetId="2" hidden="1">'Annex E-3'!$A$1:$H$20</definedName>
    <definedName name="Z_F44AC75F_827A_46B7_974C_E8545DF2AEDE_.wvu.PrintArea" localSheetId="5" hidden="1">'Annex E-5'!$A:$I</definedName>
  </definedNames>
  <calcPr calcId="191029"/>
  <customWorkbookViews>
    <customWorkbookView name="Vaikunda Raja - Personal View" guid="{429F8305-68BB-4ABC-90C3-15F066891119}" mergeInterval="0" personalView="1" maximized="1" xWindow="1912" yWindow="-8" windowWidth="1936" windowHeight="1048" activeSheetId="3"/>
    <customWorkbookView name="Elaine LIM (NRF) - Personal View" guid="{8308D2E1-AB86-4CA4-BE3B-ED4FFBF05815}" mergeInterval="0" personalView="1" maximized="1" xWindow="-11" yWindow="-11" windowWidth="1942" windowHeight="1042" activeSheetId="1"/>
    <customWorkbookView name="Nicholas KOH (NRF) - Personal View" guid="{92A3E7EB-B758-49DF-97DF-5A8D46E78E41}" mergeInterval="0" personalView="1" maximized="1" windowWidth="1920" windowHeight="854" activeSheetId="5"/>
    <customWorkbookView name="Joey LIM (AGC) - Personal View" guid="{2D0FF612-2C81-4DE3-A53A-2E50C9075D5D}" mergeInterval="0" personalView="1" maximized="1" windowWidth="1920" windowHeight="855" activeSheetId="5"/>
    <customWorkbookView name="Yuying YE (NRF) - Personal View" guid="{5401927F-BD7B-4D49-AE97-64368FC18A60}" mergeInterval="0" personalView="1" maximized="1" windowWidth="1920" windowHeight="855" activeSheetId="5"/>
    <customWorkbookView name="Mark HO (NRF) - Personal View" guid="{2C6533C7-057C-4A7C-ABD2-7930463500B1}" mergeInterval="0" personalView="1" maximized="1" xWindow="-8" yWindow="-8" windowWidth="1382" windowHeight="744" activeSheetId="5"/>
    <customWorkbookView name="Aswathy Raj - Personal View" guid="{F44AC75F-827A-46B7-974C-E8545DF2AEDE}" mergeInterval="0" personalView="1" maximized="1" xWindow="-8" yWindow="-8" windowWidth="1382" windowHeight="744"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2" l="1"/>
  <c r="I16" i="2"/>
  <c r="H13" i="1"/>
  <c r="H14" i="1"/>
  <c r="H15" i="1"/>
  <c r="H16" i="1"/>
  <c r="H12" i="1"/>
  <c r="H17" i="2" a="1"/>
  <c r="G17" i="2" a="1"/>
  <c r="F17" i="2" a="1"/>
  <c r="E17" i="2" a="1"/>
  <c r="D17" i="2" a="1"/>
  <c r="G17" i="1" a="1"/>
  <c r="F17" i="1" a="1"/>
  <c r="E17" i="1" a="1"/>
  <c r="D17" i="1" a="1"/>
  <c r="C17" i="1" a="1"/>
  <c r="H17" i="2" l="1"/>
  <c r="G17" i="2"/>
  <c r="I17" i="2" s="1"/>
  <c r="F17" i="2"/>
  <c r="E17" i="2"/>
  <c r="D17" i="2"/>
  <c r="G17" i="1"/>
  <c r="F17" i="1"/>
  <c r="E17" i="1"/>
  <c r="D17" i="1"/>
  <c r="C17" i="1"/>
  <c r="H17" i="1" l="1"/>
  <c r="D20" i="3"/>
  <c r="I13" i="2" l="1"/>
  <c r="J13" i="2" s="1"/>
  <c r="I14" i="2"/>
  <c r="J14" i="2" s="1"/>
  <c r="J15" i="2"/>
  <c r="J16" i="2"/>
  <c r="I12" i="2"/>
  <c r="H19" i="1"/>
  <c r="J12" i="2" l="1"/>
  <c r="J18" i="2" s="1"/>
  <c r="J20" i="2" s="1"/>
  <c r="J1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Aswathy Raj</author>
    <author>Vaikunda Raja</author>
  </authors>
  <commentList>
    <comment ref="A1" authorId="0" shapeId="0" xr:uid="{4F2B9598-0258-41C1-BE6E-35BA779559B8}">
      <text>
        <r>
          <rPr>
            <b/>
            <sz val="9"/>
            <color indexed="81"/>
            <rFont val="Tahoma"/>
            <family val="2"/>
          </rPr>
          <t xml:space="preserve">jx:area(lastCell="H10")
</t>
        </r>
      </text>
    </comment>
    <comment ref="C12" authorId="1" shapeId="0" xr:uid="{E75E79BC-0929-4386-9159-B065E7D06B5B}">
      <text>
        <r>
          <rPr>
            <b/>
            <sz val="9"/>
            <color indexed="81"/>
            <rFont val="Tahoma"/>
            <charset val="1"/>
          </rPr>
          <t>jx:area(lastCell="H12")
jx:each (items="claimVO.claimSummary" var="summary" lastCell="H12" select="summary.budgetCategoryCode == 'EOM'")</t>
        </r>
      </text>
    </comment>
    <comment ref="C13" authorId="1" shapeId="0" xr:uid="{B6A03A23-98E0-492A-B700-E2286E664AB4}">
      <text>
        <r>
          <rPr>
            <b/>
            <sz val="10"/>
            <color indexed="81"/>
            <rFont val="Tahoma"/>
            <family val="2"/>
          </rPr>
          <t>jx:area(lastCell="H13")
jx:each (items="claimVO.claimSummary" var="summary" lastCell="H13" select="summary.budgetCategoryCode == 'EQT'")</t>
        </r>
      </text>
    </comment>
    <comment ref="C14" authorId="1" shapeId="0" xr:uid="{A43EE1C1-8F44-48D9-AF52-38A6EA1D7613}">
      <text>
        <r>
          <rPr>
            <b/>
            <sz val="9"/>
            <color indexed="81"/>
            <rFont val="Tahoma"/>
            <family val="2"/>
          </rPr>
          <t>jx:area(lastCell="H14")</t>
        </r>
      </text>
    </comment>
    <comment ref="C15" authorId="1" shapeId="0" xr:uid="{35F29899-A3A7-470C-9796-A732D5CC0764}">
      <text>
        <r>
          <rPr>
            <b/>
            <sz val="9"/>
            <color indexed="81"/>
            <rFont val="Tahoma"/>
            <family val="2"/>
          </rPr>
          <t>jx:area(lastCell="H15")
jx:each (items="claimVO.claimSummary" var="summary" lastCell="H15" select="summary.budgetCategoryCode == 'OST'")</t>
        </r>
      </text>
    </comment>
    <comment ref="C16" authorId="1" shapeId="0" xr:uid="{3395B6AF-2111-4F56-8FDE-25FC68C5DE16}">
      <text>
        <r>
          <rPr>
            <b/>
            <sz val="9"/>
            <color indexed="81"/>
            <rFont val="Tahoma"/>
            <family val="2"/>
          </rPr>
          <t>jx:area(lastCell="H16")
jx:each (items="claimVO.claimSummary" var="summary" lastCell="H16" select="summary.budgetCategoryCode == 'RSS'")</t>
        </r>
      </text>
    </comment>
    <comment ref="A17" authorId="1" shapeId="0" xr:uid="{EBD908BD-D343-4C85-953F-A9D79E67D34B}">
      <text>
        <r>
          <rPr>
            <b/>
            <sz val="9"/>
            <color indexed="81"/>
            <rFont val="Tahoma"/>
            <family val="2"/>
          </rPr>
          <t xml:space="preserve">jx:area(lastCell="H37")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Aswathy Raj</author>
  </authors>
  <commentList>
    <comment ref="A1" authorId="0" shapeId="0" xr:uid="{A2DF5D8D-00BB-4A94-AFF3-43BA1AC0E9E3}">
      <text>
        <r>
          <rPr>
            <b/>
            <sz val="9"/>
            <color indexed="81"/>
            <rFont val="Tahoma"/>
            <family val="2"/>
          </rPr>
          <t xml:space="preserve">jx:area(lastCell="J9")
</t>
        </r>
      </text>
    </comment>
    <comment ref="B12" authorId="0" shapeId="0" xr:uid="{0300124B-5A1B-4A8F-8DFB-810BFCF52DE9}">
      <text>
        <r>
          <rPr>
            <b/>
            <sz val="9"/>
            <color indexed="81"/>
            <rFont val="Tahoma"/>
            <family val="2"/>
          </rPr>
          <t>jx:area(lastCell="J12")
jx:each (items="claimVO.claimSummary" var="summary" lastCell="J12" select="summary.budgetCategoryCode == 'EOM'")</t>
        </r>
      </text>
    </comment>
    <comment ref="B13" authorId="0" shapeId="0" xr:uid="{CB36B7A0-F4EB-4E3A-88BA-191DD11ED8C3}">
      <text>
        <r>
          <rPr>
            <b/>
            <sz val="9"/>
            <color indexed="81"/>
            <rFont val="Tahoma"/>
            <family val="2"/>
          </rPr>
          <t>jx:area(lastCell="J13")
jx:each (items="claimVO.claimSummary" var="summary" lastCell="J13" select="summary.budgetCategoryCode == 'EQT'")</t>
        </r>
      </text>
    </comment>
    <comment ref="B14" authorId="0" shapeId="0" xr:uid="{7CEBCBBF-2057-4F1E-91D3-609ED4A3C6C2}">
      <text>
        <r>
          <rPr>
            <b/>
            <sz val="9"/>
            <color indexed="81"/>
            <rFont val="Tahoma"/>
            <family val="2"/>
          </rPr>
          <t>jx:area(lastCell="J14")</t>
        </r>
      </text>
    </comment>
    <comment ref="B15" authorId="0" shapeId="0" xr:uid="{D54438F9-FB52-4F1A-9388-B39169320136}">
      <text>
        <r>
          <rPr>
            <b/>
            <sz val="9"/>
            <color indexed="81"/>
            <rFont val="Tahoma"/>
            <family val="2"/>
          </rPr>
          <t>jx:area(lastCell="J15")
jx:each (items="claimVO.claimSummary" var="summary" lastCell="J15" select="summary.budgetCategoryCode == 'OST'")</t>
        </r>
      </text>
    </comment>
    <comment ref="B16" authorId="0" shapeId="0" xr:uid="{01C716F3-F9FD-4674-8973-5D9C1C4B7136}">
      <text>
        <r>
          <rPr>
            <b/>
            <sz val="9"/>
            <color indexed="81"/>
            <rFont val="Tahoma"/>
            <family val="2"/>
          </rPr>
          <t>jx:area(lastCell="J16")
jx:each (items="claimVO.claimSummary" var="summary" lastCell="J16" select="summary.budgetCategoryCode == 'RSS'")</t>
        </r>
      </text>
    </comment>
    <comment ref="A17" authorId="0" shapeId="0" xr:uid="{2E58D08C-572F-46BA-BF96-64EA14E5FD04}">
      <text>
        <r>
          <rPr>
            <b/>
            <sz val="9"/>
            <color indexed="81"/>
            <rFont val="Tahoma"/>
            <family val="2"/>
          </rPr>
          <t xml:space="preserve">jx:area(lastCell="J39")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Vaikunda Raja</author>
    <author>Aswathy Raj</author>
  </authors>
  <commentList>
    <comment ref="A1" authorId="0" shapeId="0" xr:uid="{294169DC-E59A-4112-9C18-EB3B60E86016}">
      <text>
        <r>
          <rPr>
            <b/>
            <sz val="9"/>
            <color indexed="81"/>
            <rFont val="Tahoma"/>
            <family val="2"/>
          </rPr>
          <t xml:space="preserve">jx:area(lastCell="H24")
</t>
        </r>
      </text>
    </comment>
    <comment ref="A12" authorId="1" shapeId="0" xr:uid="{C54A8C25-43DE-4AB0-9912-57880C862045}">
      <text>
        <r>
          <rPr>
            <b/>
            <sz val="9"/>
            <color indexed="81"/>
            <rFont val="Tahoma"/>
            <family val="2"/>
          </rPr>
          <t xml:space="preserve">jx:each(items="claimVO.currentManPowerResource" groupBy="fullName" var="awardManpower" varIndex="index" lastCell="H12")
</t>
        </r>
        <r>
          <rPr>
            <sz val="9"/>
            <color indexed="81"/>
            <rFont val="Tahoma"/>
            <family val="2"/>
          </rPr>
          <t xml:space="preserve">
</t>
        </r>
      </text>
    </comment>
    <comment ref="A15" authorId="1" shapeId="0" xr:uid="{46450BE0-6C51-4749-89C7-3D47A9CE618A}">
      <text>
        <r>
          <rPr>
            <b/>
            <sz val="9"/>
            <color indexed="81"/>
            <rFont val="Tahoma"/>
            <family val="2"/>
          </rPr>
          <t>jx:each(items="claimVO.pastManpowerResource" groupBy="fullName" var="awardManpower" varIndex="index"  lastCell="H15")</t>
        </r>
        <r>
          <rPr>
            <sz val="9"/>
            <color indexed="81"/>
            <rFont val="Tahoma"/>
            <family val="2"/>
          </rPr>
          <t xml:space="preserve">
</t>
        </r>
      </text>
    </comment>
    <comment ref="A20" authorId="1" shapeId="0" xr:uid="{F80BC22C-79AA-4AFA-B0EB-45056D410B9D}">
      <text>
        <r>
          <rPr>
            <b/>
            <sz val="9"/>
            <color indexed="81"/>
            <rFont val="Tahoma"/>
            <family val="2"/>
          </rPr>
          <t>jx:each(items="claimVO.approvedManpowerCounts" var="approvedManpower" lastCell="D20")</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<sst xmlns="http://schemas.openxmlformats.org/spreadsheetml/2006/main" count="249" uniqueCount="146">
  <si>
    <t>CONSOLIDATED STATEMENT</t>
  </si>
  <si>
    <t xml:space="preserve">Cumulative Expenditure as at </t>
  </si>
  <si>
    <t>Funds to be Credited to Cost Centre for</t>
  </si>
  <si>
    <t>(a)</t>
  </si>
  <si>
    <t>(b)</t>
  </si>
  <si>
    <t>Net Funds to be Received</t>
  </si>
  <si>
    <t>Date :</t>
  </si>
  <si>
    <t>Please credit the fund to:</t>
  </si>
  <si>
    <t>Bank Name:</t>
  </si>
  <si>
    <t>Bank A/C Holder Name:</t>
  </si>
  <si>
    <t>Bank A/C No.:</t>
  </si>
  <si>
    <t>Cumulative Received as at</t>
  </si>
  <si>
    <t>The request has also been made in accordance to the NRF Fund Guide.</t>
  </si>
  <si>
    <t>Signature :</t>
  </si>
  <si>
    <t>We hereby certify that the particulars provided above are true and correct, and verified against the original source of documents.</t>
  </si>
  <si>
    <t>NAME OF INSTITUTION / ORGANISATION :</t>
  </si>
  <si>
    <t>CERTIFICATION BY INSTITUTION / ORGANISATION :</t>
  </si>
  <si>
    <t>Name of Finance Officer of Institution / Organisation :</t>
  </si>
  <si>
    <t># Enclose Bank Statement</t>
  </si>
  <si>
    <t>Expenditure Incurred in the last quarter</t>
  </si>
  <si>
    <t>Total Actual Expenditure Incurred</t>
  </si>
  <si>
    <t xml:space="preserve">(d) = (b) + (c) </t>
  </si>
  <si>
    <t>(e) = (a) - (d)</t>
  </si>
  <si>
    <t>FOR THE MONTHS OF</t>
  </si>
  <si>
    <r>
      <t xml:space="preserve">Important Notes:
</t>
    </r>
    <r>
      <rPr>
        <sz val="12"/>
        <rFont val="Arial"/>
        <family val="2"/>
      </rPr>
      <t xml:space="preserve">1. The manpower list should contain </t>
    </r>
    <r>
      <rPr>
        <b/>
        <i/>
        <sz val="12"/>
        <rFont val="Arial"/>
        <family val="2"/>
      </rPr>
      <t xml:space="preserve">all staff </t>
    </r>
    <r>
      <rPr>
        <sz val="12"/>
        <rFont val="Arial"/>
        <family val="2"/>
      </rPr>
      <t xml:space="preserve">employed under the programme </t>
    </r>
    <r>
      <rPr>
        <b/>
        <sz val="12"/>
        <rFont val="Arial"/>
        <family val="2"/>
      </rPr>
      <t xml:space="preserve">including those whose employment has ended.
</t>
    </r>
    <r>
      <rPr>
        <sz val="12"/>
        <rFont val="Arial"/>
        <family val="2"/>
      </rPr>
      <t xml:space="preserve">2. </t>
    </r>
    <r>
      <rPr>
        <b/>
        <sz val="12"/>
        <rFont val="Arial"/>
        <family val="2"/>
      </rPr>
      <t xml:space="preserve">Both tables should be filled accordingly.  Fund disbursement may be delayed/withheld if this form is not completely/properly filled accordingly.
</t>
    </r>
    <r>
      <rPr>
        <sz val="12"/>
        <rFont val="Arial"/>
        <family val="2"/>
      </rPr>
      <t xml:space="preserve">
</t>
    </r>
    <r>
      <rPr>
        <u/>
        <sz val="12"/>
        <rFont val="Arial"/>
        <family val="2"/>
      </rPr>
      <t>a) Current Headcount</t>
    </r>
    <r>
      <rPr>
        <sz val="12"/>
        <rFont val="Arial"/>
        <family val="2"/>
      </rPr>
      <t xml:space="preserve">
3. If new staff are to be employed during the financial year, please add on under the "Current Headcount" list.
4. For staff </t>
    </r>
    <r>
      <rPr>
        <b/>
        <i/>
        <sz val="12"/>
        <rFont val="Arial"/>
        <family val="2"/>
      </rPr>
      <t>transferred</t>
    </r>
    <r>
      <rPr>
        <sz val="12"/>
        <rFont val="Arial"/>
        <family val="2"/>
      </rPr>
      <t xml:space="preserve"> from other funding sources, please indicate the </t>
    </r>
    <r>
      <rPr>
        <b/>
        <sz val="12"/>
        <rFont val="Arial"/>
        <family val="2"/>
      </rPr>
      <t>start date of employment for this project only</t>
    </r>
    <r>
      <rPr>
        <sz val="12"/>
        <rFont val="Arial"/>
        <family val="2"/>
      </rPr>
      <t xml:space="preserve">.
</t>
    </r>
    <r>
      <rPr>
        <u/>
        <sz val="12"/>
        <rFont val="Arial"/>
        <family val="2"/>
      </rPr>
      <t>b) Past Headcount</t>
    </r>
    <r>
      <rPr>
        <sz val="12"/>
        <rFont val="Arial"/>
        <family val="2"/>
      </rPr>
      <t xml:space="preserve">
5. Please list all staff whose employment has ended under the "Past Headcount" list.
</t>
    </r>
    <r>
      <rPr>
        <u/>
        <sz val="12"/>
        <rFont val="Arial"/>
        <family val="2"/>
      </rPr>
      <t>c) Summary of Manpower</t>
    </r>
    <r>
      <rPr>
        <sz val="12"/>
        <rFont val="Arial"/>
        <family val="2"/>
      </rPr>
      <t xml:space="preserve">
6. Please provide the total number of approved and actual staff (by category) employed under the programme. 
</t>
    </r>
    <r>
      <rPr>
        <b/>
        <sz val="12"/>
        <rFont val="Arial"/>
        <family val="2"/>
      </rPr>
      <t/>
    </r>
  </si>
  <si>
    <t>S/N</t>
  </si>
  <si>
    <t>Name of Staff</t>
  </si>
  <si>
    <t>Designation</t>
  </si>
  <si>
    <t>Institution</t>
  </si>
  <si>
    <t>Start Date of Employment 
(dd-mmm-yyyy)</t>
  </si>
  <si>
    <t>End Date of Employment 
(dd-mmm-yyyy)</t>
  </si>
  <si>
    <t>Nationality</t>
  </si>
  <si>
    <t>Country</t>
  </si>
  <si>
    <t>a) Current Headcount</t>
  </si>
  <si>
    <t>b) Past Headcount</t>
  </si>
  <si>
    <t xml:space="preserve">c) Summary of Manpower </t>
  </si>
  <si>
    <t>Manpower Category</t>
  </si>
  <si>
    <t>Approved Headcount</t>
  </si>
  <si>
    <t>Actual Headcount</t>
  </si>
  <si>
    <t>(I) Budget Utilisation</t>
  </si>
  <si>
    <t>Current Budget ($)</t>
  </si>
  <si>
    <t>Expenditure To Date (S)</t>
  </si>
  <si>
    <t>Unutilised Budget ($)</t>
  </si>
  <si>
    <t>TOTAL</t>
  </si>
  <si>
    <t>Important Notes:</t>
  </si>
  <si>
    <t xml:space="preserve">1. Fill in the budget utilisation table in section (I). The Current Budget Column is to reflect all approved virements (if any).
2. Depending on the variation, fill in section (II) for virements only, or section (III) for variations that will not require a change to the budget, or both sections (II and III) for variations that will require a change to the budget.
3. Justifications for all variations must be provided.
</t>
  </si>
  <si>
    <t>(II) Virement</t>
  </si>
  <si>
    <t>Vote to Vire Fund From</t>
  </si>
  <si>
    <t>Vote to Vire Fund To</t>
  </si>
  <si>
    <t>Amount to Vire ($)</t>
  </si>
  <si>
    <t>Justifications:</t>
  </si>
  <si>
    <t xml:space="preserve">(III) Variation Request </t>
  </si>
  <si>
    <t xml:space="preserve">Variation: </t>
  </si>
  <si>
    <t>*Others:</t>
  </si>
  <si>
    <t>(Please specify)</t>
  </si>
  <si>
    <t>Details of Variation</t>
  </si>
  <si>
    <t>(IV) Declaration and Endorsement</t>
  </si>
  <si>
    <t>I declare that all the information above is true and complete to the best of my knowledge.</t>
  </si>
  <si>
    <t>Overseas Travel</t>
  </si>
  <si>
    <t>Cost Centre</t>
  </si>
  <si>
    <t>&lt;to be completed by NRF&gt;</t>
  </si>
  <si>
    <t>FI/Programme</t>
  </si>
  <si>
    <t>FI/Programme Current Year Budget</t>
  </si>
  <si>
    <t>FI/Programme  Committed Budget</t>
  </si>
  <si>
    <t>FI/Programme Start Date</t>
  </si>
  <si>
    <t>FI/Programme End Date</t>
  </si>
  <si>
    <t>FI/Programme Committed Budget</t>
  </si>
  <si>
    <t>FI/Programme
End Date</t>
  </si>
  <si>
    <t>FI/Programme
Start Date</t>
  </si>
  <si>
    <t>FI/Programme
Current Year Budget</t>
  </si>
  <si>
    <t>Revised FI/Programme End Date (if applicable)</t>
  </si>
  <si>
    <t>Item Description</t>
  </si>
  <si>
    <t>Year 1</t>
  </si>
  <si>
    <t>Year 2</t>
  </si>
  <si>
    <t>Year 3</t>
  </si>
  <si>
    <t>Year 4</t>
  </si>
  <si>
    <t>Year 5</t>
  </si>
  <si>
    <t>Total</t>
  </si>
  <si>
    <t>TOTAL REQUESTED FROM NRF</t>
  </si>
  <si>
    <t>Expenditure of Manpower</t>
  </si>
  <si>
    <t>Equipment</t>
  </si>
  <si>
    <t>Budget as per Letter of Grant ($)</t>
  </si>
  <si>
    <t>Please comment on whether the request is reasonable and within the guidelines and policies of the Host Institution.</t>
  </si>
  <si>
    <t xml:space="preserve">Additional manpower / Change in manpower / Project extension with no additional funding / 
 </t>
  </si>
  <si>
    <t>Other Operating Expenses</t>
  </si>
  <si>
    <t>Name of Deputy President (Research and Technology) /Organisation:</t>
  </si>
  <si>
    <t>For Office of the Deputy President (Research and Technology) of Host Institution:</t>
  </si>
  <si>
    <t>Vote</t>
  </si>
  <si>
    <t>Change in Principal Investigators or Co-Investigators / Change in Scope of the Project / *Others (Delete accordingly)</t>
  </si>
  <si>
    <t xml:space="preserve">Budget </t>
  </si>
  <si>
    <t>NATIONAL RESEARCH FUND DRAWDOWN REQUEST FORM FOR FUNDING INITIATIVE (FI)/PROGRAMME</t>
  </si>
  <si>
    <t>Actual Expenditure for</t>
  </si>
  <si>
    <t>(c)</t>
  </si>
  <si>
    <t>(d) = (c) + (b) - (a)</t>
  </si>
  <si>
    <t xml:space="preserve"> (c)</t>
  </si>
  <si>
    <t>Balance Funds To Be Returned to NRF / 
(To Be Disbursed)</t>
  </si>
  <si>
    <t>Name of Executive Director of Institution / Organisation or equivalent :</t>
  </si>
  <si>
    <t>NATIONAL RESEARCH FOUNDATION BUDGET FORM FOR PROGRAMME/PROJECT</t>
  </si>
  <si>
    <t xml:space="preserve">NAME OF PROGRAMME/PROJECT : </t>
  </si>
  <si>
    <t>NATIONAL RESEARCH FOUNDATION VARIATION FORM FOR PROGRAMME/PROJECT</t>
  </si>
  <si>
    <t>Executive Director of Institution / Organisation or equivalent:</t>
  </si>
  <si>
    <t>NATIONAL RESEARCH FOUNDATION QUARTERLY UPDATE ON MANPOWER LISTING FORM FOR PROGRAMME/PROJECT</t>
  </si>
  <si>
    <t>NATIONAL RESEARCH FUND FINAL STATEMENT OF ACCOUNT FOR PROGRAMME/PROJECT</t>
  </si>
  <si>
    <t>${claimVO.claim.award.sponsorAwardNumber}</t>
  </si>
  <si>
    <t xml:space="preserve">${claimVO.claim.payeeBank} </t>
  </si>
  <si>
    <t>${claimVO.claim.payeeAccountName}</t>
  </si>
  <si>
    <t>${claimVO.claim.payeeAccountNumber}</t>
  </si>
  <si>
    <t>${claimVO.claim.foName}</t>
  </si>
  <si>
    <t>Manpower (EOM)</t>
  </si>
  <si>
    <t>Equipment (EQP)</t>
  </si>
  <si>
    <t>Other Operating Expenses (OOE)</t>
  </si>
  <si>
    <t>Overseas Travel (OT)</t>
  </si>
  <si>
    <t>Research Scholarship (RS)</t>
  </si>
  <si>
    <t>${summary.latestApprovedBudget}</t>
  </si>
  <si>
    <t>${summary.prevClaimsTotalAmount}</t>
  </si>
  <si>
    <t>${summary.expenseIncuredToThisPeriod}</t>
  </si>
  <si>
    <t>${claimVO.claimStartAndEndYear}</t>
  </si>
  <si>
    <t xml:space="preserve">NAME OF FUNDING INITIATIVE/PROGRAMME : </t>
  </si>
  <si>
    <t>${claimVO.claim.award.title}</t>
  </si>
  <si>
    <r>
      <t>NAME OF INSTITUTION / ORGANISATION :</t>
    </r>
    <r>
      <rPr>
        <sz val="11"/>
        <rFont val="Arial"/>
        <family val="2"/>
      </rPr>
      <t xml:space="preserve">  </t>
    </r>
  </si>
  <si>
    <t>Nanyang Technological University</t>
  </si>
  <si>
    <t xml:space="preserve">FUNDING PERIOD : </t>
  </si>
  <si>
    <t>${index+1}</t>
  </si>
  <si>
    <t>${manpower.manpowerCount}</t>
  </si>
  <si>
    <t>${claimVO.claimRSOApprovalDate}</t>
  </si>
  <si>
    <t>${claimVO.claimFOApprovalDate}</t>
  </si>
  <si>
    <t># Less Bank interest earned for ${claimVO.claimStartAndEndYear} (if applicable)</t>
  </si>
  <si>
    <t>${claimVO.lastClaimEndDate}</t>
  </si>
  <si>
    <t>${approvedManpower.jobProfileTitle}</t>
  </si>
  <si>
    <t>${approvedManpower.manpowerCount}</t>
  </si>
  <si>
    <t>${claimVO.summaryOOE_MACSumValues.latestApprovedBudgetForOOEMAC}</t>
  </si>
  <si>
    <t>${claimVO.summaryOOE_MACSumValues.prevClaimsTotalAmountForOOEMAC}</t>
  </si>
  <si>
    <t>${claimVO.summaryOOE_MACSumValues.amountRequestedForOOEMAC}</t>
  </si>
  <si>
    <t>${awardManpower.item.fullName}</t>
  </si>
  <si>
    <t>${awardManpower.items[0].manpowerJobProfileType.defaultJobTitle}</t>
  </si>
  <si>
    <t>${awardManpower.items[0].chargeStartDate}</t>
  </si>
  <si>
    <t>${awardManpower.items[awardManpower.items.size()-1].chargeEndDate}</t>
  </si>
  <si>
    <t>${awardManpower.items[0].manpower.decryptedCitizenShip}</t>
  </si>
  <si>
    <t>${awardManpower.items[0].manpower.decryptedNationality}</t>
  </si>
  <si>
    <t xml:space="preserve">Name of Executive Director of Institution / Organisation or equivalent : </t>
  </si>
  <si>
    <t>${claimVO.claim.rsoName}</t>
  </si>
  <si>
    <t>${claimVO.claim.award.beginDate}</t>
  </si>
  <si>
    <t>${claimVO.claim.award.finalExpirationDate}</t>
  </si>
  <si>
    <t>${summary.amountRequested}</t>
  </si>
  <si>
    <t>Indirect Costs (${claimVO.oHPercentage}% Overheads)</t>
  </si>
  <si>
    <t>Indirect Costs ${claimVO.oHPercentage}% Overheads)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</si>
</sst>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m\-yyyy"/>
    <numFmt numFmtId="165" formatCode="[$-14809]d\ mmm\ yyyy;@"/>
    <numFmt numFmtId="166" formatCode="dd/mmm/yyyy"/>
  </numFmts>
  <fonts count="28" x14ac:knownFonts="1">
    <font>
      <sz val="10"/>
      <name val="Arial"/>
    </font>
    <font>
      <sz val="11"/>
      <color theme="1"/>
      <name val="Calibri"/>
      <family val="2"/>
      <scheme val="minor"/>
    </font>
    <font>
      <sz val="10"/>
      <name val="Arial"/>
      <family val="2"/>
    </font>
    <font>
      <sz val="8"/>
      <name val="Arial"/>
      <family val="2"/>
    </font>
    <font>
      <sz val="11"/>
      <name val="Times New Roman"/>
      <family val="1"/>
    </font>
    <font>
      <b/>
      <sz val="10"/>
      <name val="Arial"/>
      <family val="2"/>
    </font>
    <font>
      <sz val="10"/>
      <name val="Arial"/>
      <family val="2"/>
    </font>
    <font>
      <sz val="11"/>
      <name val="Arial"/>
      <family val="2"/>
    </font>
    <font>
      <b/>
      <u/>
      <sz val="11"/>
      <name val="Arial"/>
      <family val="2"/>
    </font>
    <font>
      <b/>
      <sz val="11"/>
      <name val="Arial"/>
      <family val="2"/>
    </font>
    <font>
      <b/>
      <u/>
      <sz val="12"/>
      <name val="Arial"/>
      <family val="2"/>
    </font>
    <font>
      <b/>
      <sz val="12"/>
      <color theme="1"/>
      <name val="Arial"/>
      <family val="2"/>
    </font>
    <font>
      <b/>
      <sz val="12"/>
      <name val="Arial"/>
      <family val="2"/>
    </font>
    <font>
      <sz val="12"/>
      <color theme="1"/>
      <name val="Arial"/>
      <family val="2"/>
    </font>
    <font>
      <sz val="12"/>
      <name val="Arial"/>
      <family val="2"/>
    </font>
    <font>
      <b/>
      <i/>
      <sz val="12"/>
      <name val="Arial"/>
      <family val="2"/>
    </font>
    <font>
      <i/>
      <sz val="12"/>
      <color theme="1"/>
      <name val="Arial"/>
      <family val="2"/>
    </font>
    <font>
      <u/>
      <sz val="12"/>
      <name val="Arial"/>
      <family val="2"/>
    </font>
    <font>
      <b/>
      <u/>
      <sz val="12"/>
      <color theme="1"/>
      <name val="Arial"/>
      <family val="2"/>
    </font>
    <font>
      <b/>
      <sz val="11"/>
      <color rgb="FFFA7D00"/>
      <name val="Calibri"/>
      <family val="2"/>
      <scheme val="minor"/>
    </font>
    <font>
      <b/>
      <sz val="11"/>
      <color theme="0"/>
      <name val="Calibri"/>
      <family val="2"/>
      <scheme val="minor"/>
    </font>
    <font>
      <b/>
      <u/>
      <sz val="11"/>
      <color theme="1"/>
      <name val="Arial"/>
      <family val="2"/>
    </font>
    <font>
      <b/>
      <sz val="11"/>
      <color theme="0"/>
      <name val="Arial"/>
      <family val="2"/>
    </font>
    <font>
      <b/>
      <sz val="9"/>
      <color indexed="81"/>
      <name val="Tahoma"/>
      <family val="2"/>
    </font>
    <font>
      <sz val="9"/>
      <color indexed="81"/>
      <name val="Tahoma"/>
      <family val="2"/>
    </font>
    <font>
      <sz val="10"/>
      <color theme="0"/>
      <name val="Arial"/>
      <family val="2"/>
    </font>
    <font>
      <b/>
      <sz val="9"/>
      <color indexed="81"/>
      <name val="Tahoma"/>
      <charset val="1"/>
    </font>
    <font>
      <b/>
      <sz val="10"/>
      <color indexed="81"/>
      <name val="Tahoma"/>
      <family val="2"/>
    </font>
  </fonts>
  <fills count="5">
    <fill>
      <patternFill patternType="none"/>
    </fill>
    <fill>
      <patternFill patternType="gray125"/>
    </fill>
    <fill>
      <patternFill patternType="solid">
        <fgColor theme="0" tint="-0.14999847407452621"/>
        <bgColor indexed="64"/>
      </patternFill>
    </fill>
    <fill>
      <patternFill patternType="solid">
        <fgColor rgb="FFF2F2F2"/>
      </patternFill>
    </fill>
    <fill>
      <patternFill patternType="solid">
        <fgColor rgb="FFA5A5A5"/>
      </patternFill>
    </fill>
  </fills>
  <borders count="24">
    <border>
      <left/>
      <right/>
      <top/>
      <bottom/>
      <diagonal/>
    </border>
    <border>
      <left/>
      <right/>
      <top style="thin">
        <color indexed="64"/>
      </top>
      <bottom/>
      <diagonal/>
    </border>
    <border>
      <left/>
      <right/>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style="thin">
        <color indexed="64"/>
      </right>
      <top style="thin">
        <color indexed="64"/>
      </top>
      <bottom style="thin">
        <color indexed="64"/>
      </bottom>
      <diagonal/>
    </border>
  </borders>
  <cellStyleXfs count="11">
    <xf numFmtId="0" fontId="0" fillId="0" borderId="0"/>
    <xf numFmtId="43" fontId="2" fillId="0" borderId="0" applyFont="0" applyFill="0" applyBorder="0" applyAlignment="0" applyProtection="0"/>
    <xf numFmtId="0" fontId="1" fillId="0" borderId="0"/>
    <xf numFmtId="43" fontId="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19" fillId="3" borderId="21" applyNumberFormat="0" applyAlignment="0" applyProtection="0"/>
    <xf numFmtId="0" fontId="20" fillId="4" borderId="22" applyNumberFormat="0" applyAlignment="0" applyProtection="0"/>
  </cellStyleXfs>
  <cellXfs count="144">
    <xf numFmtId="0" fontId="0" fillId="0" borderId="0" xfId="0"/>
    <xf numFmtId="0" fontId="4" fillId="0" borderId="0" xfId="0" applyFont="1"/>
    <xf numFmtId="0" fontId="5" fillId="0" borderId="1" xfId="0" applyFont="1" applyBorder="1" applyAlignment="1">
      <alignment horizontal="center" wrapText="1"/>
    </xf>
    <xf numFmtId="43" fontId="5" fillId="0" borderId="1" xfId="1" applyFont="1" applyBorder="1" applyAlignment="1">
      <alignment horizontal="center" wrapText="1"/>
    </xf>
    <xf numFmtId="0" fontId="6" fillId="0" borderId="2" xfId="0" applyFont="1" applyBorder="1" applyAlignment="1">
      <alignment horizontal="center" wrapText="1"/>
    </xf>
    <xf numFmtId="43" fontId="6" fillId="0" borderId="2" xfId="1" applyFont="1" applyBorder="1" applyAlignment="1">
      <alignment horizontal="center" wrapText="1"/>
    </xf>
    <xf numFmtId="0" fontId="6" fillId="0" borderId="0" xfId="0" applyFont="1"/>
    <xf numFmtId="43" fontId="6" fillId="0" borderId="0" xfId="1" applyFont="1" applyAlignment="1">
      <alignment horizontal="right" vertical="top" wrapText="1"/>
    </xf>
    <xf numFmtId="43" fontId="6" fillId="0" borderId="0" xfId="1" applyFont="1" applyAlignment="1">
      <alignment horizontal="center" vertical="top" wrapText="1"/>
    </xf>
    <xf numFmtId="43" fontId="6" fillId="0" borderId="0" xfId="1" quotePrefix="1" applyFont="1" applyAlignment="1">
      <alignment horizontal="center" vertical="top" wrapText="1"/>
    </xf>
    <xf numFmtId="43" fontId="6" fillId="0" borderId="0" xfId="1" applyFont="1" applyFill="1" applyAlignment="1">
      <alignment horizontal="right" vertical="top" wrapText="1"/>
    </xf>
    <xf numFmtId="39" fontId="6" fillId="0" borderId="0" xfId="1" applyNumberFormat="1" applyFont="1" applyAlignment="1">
      <alignment horizontal="right" vertical="top" wrapText="1"/>
    </xf>
    <xf numFmtId="39" fontId="4" fillId="0" borderId="0" xfId="0" applyNumberFormat="1" applyFont="1"/>
    <xf numFmtId="43" fontId="4" fillId="0" borderId="0" xfId="0" applyNumberFormat="1" applyFont="1"/>
    <xf numFmtId="0" fontId="6" fillId="0" borderId="0" xfId="0" applyFont="1" applyAlignment="1">
      <alignment horizontal="left"/>
    </xf>
    <xf numFmtId="39" fontId="6" fillId="0" borderId="0" xfId="1" applyNumberFormat="1" applyFont="1" applyBorder="1" applyAlignment="1">
      <alignment horizontal="right" vertical="top" wrapText="1"/>
    </xf>
    <xf numFmtId="39" fontId="6" fillId="0" borderId="0" xfId="0" applyNumberFormat="1" applyFont="1"/>
    <xf numFmtId="39" fontId="6" fillId="0" borderId="0" xfId="0" applyNumberFormat="1" applyFont="1" applyAlignment="1">
      <alignment horizontal="right"/>
    </xf>
    <xf numFmtId="39" fontId="6" fillId="0" borderId="0" xfId="1" applyNumberFormat="1" applyFont="1" applyBorder="1" applyAlignment="1">
      <alignment horizontal="right"/>
    </xf>
    <xf numFmtId="0" fontId="7" fillId="0" borderId="0" xfId="0" applyFont="1"/>
    <xf numFmtId="0" fontId="7" fillId="0" borderId="0" xfId="0" applyFont="1" applyAlignment="1">
      <alignment horizontal="right"/>
    </xf>
    <xf numFmtId="0" fontId="8" fillId="0" borderId="0" xfId="0" applyFont="1"/>
    <xf numFmtId="0" fontId="7" fillId="0" borderId="2" xfId="0" applyFont="1" applyBorder="1"/>
    <xf numFmtId="0" fontId="7" fillId="0" borderId="0" xfId="0" quotePrefix="1" applyFont="1"/>
    <xf numFmtId="0" fontId="9" fillId="0" borderId="0" xfId="0" applyFont="1"/>
    <xf numFmtId="0" fontId="7" fillId="0" borderId="0" xfId="0" applyFont="1" applyAlignment="1">
      <alignment vertical="center"/>
    </xf>
    <xf numFmtId="0" fontId="7" fillId="0" borderId="4" xfId="0" applyFont="1" applyBorder="1"/>
    <xf numFmtId="0" fontId="7" fillId="0" borderId="2" xfId="0" applyFont="1" applyBorder="1" applyAlignment="1">
      <alignment vertical="center"/>
    </xf>
    <xf numFmtId="0" fontId="7" fillId="0" borderId="4" xfId="0" applyFont="1" applyBorder="1" applyAlignment="1">
      <alignment vertical="center"/>
    </xf>
    <xf numFmtId="0" fontId="10" fillId="0" borderId="0" xfId="0" applyFont="1"/>
    <xf numFmtId="0" fontId="6" fillId="0" borderId="0" xfId="0" applyFont="1" applyAlignment="1">
      <alignment horizontal="right"/>
    </xf>
    <xf numFmtId="0" fontId="9" fillId="0" borderId="0" xfId="0" applyFont="1" applyAlignment="1">
      <alignment horizontal="right" vertical="center"/>
    </xf>
    <xf numFmtId="17" fontId="2" fillId="0" borderId="2" xfId="1" applyNumberFormat="1" applyFont="1" applyBorder="1" applyAlignment="1">
      <alignment horizontal="center" wrapText="1"/>
    </xf>
    <xf numFmtId="43" fontId="2" fillId="0" borderId="0" xfId="1" applyFont="1" applyAlignment="1">
      <alignment horizontal="center" vertical="top" wrapText="1"/>
    </xf>
    <xf numFmtId="43" fontId="2" fillId="0" borderId="0" xfId="1" quotePrefix="1" applyFont="1" applyAlignment="1">
      <alignment horizontal="center" vertical="top" wrapText="1"/>
    </xf>
    <xf numFmtId="0" fontId="1" fillId="0" borderId="0" xfId="2"/>
    <xf numFmtId="0" fontId="11" fillId="0" borderId="0" xfId="2" applyFont="1"/>
    <xf numFmtId="0" fontId="11" fillId="0" borderId="0" xfId="2" applyFont="1" applyAlignment="1">
      <alignment vertical="top"/>
    </xf>
    <xf numFmtId="0" fontId="13" fillId="0" borderId="0" xfId="2" applyFont="1"/>
    <xf numFmtId="0" fontId="11" fillId="0" borderId="0" xfId="2" applyFont="1" applyAlignment="1">
      <alignment vertical="top" wrapText="1"/>
    </xf>
    <xf numFmtId="0" fontId="12" fillId="0" borderId="0" xfId="2" applyFont="1" applyAlignment="1">
      <alignment vertical="top"/>
    </xf>
    <xf numFmtId="0" fontId="13" fillId="0" borderId="2" xfId="2" applyFont="1" applyBorder="1" applyAlignment="1">
      <alignment vertical="top"/>
    </xf>
    <xf numFmtId="0" fontId="13" fillId="0" borderId="0" xfId="2" applyFont="1" applyAlignment="1">
      <alignment vertical="top"/>
    </xf>
    <xf numFmtId="0" fontId="13" fillId="0" borderId="4" xfId="2" applyFont="1" applyBorder="1" applyAlignment="1">
      <alignment vertical="top"/>
    </xf>
    <xf numFmtId="0" fontId="13" fillId="0" borderId="5" xfId="2" applyFont="1" applyBorder="1" applyAlignment="1">
      <alignment vertical="top"/>
    </xf>
    <xf numFmtId="0" fontId="1" fillId="0" borderId="5" xfId="2" applyBorder="1"/>
    <xf numFmtId="0" fontId="11" fillId="0" borderId="5" xfId="2" applyFont="1" applyBorder="1" applyAlignment="1">
      <alignment vertical="top"/>
    </xf>
    <xf numFmtId="0" fontId="11" fillId="0" borderId="5" xfId="2" applyFont="1" applyBorder="1"/>
    <xf numFmtId="0" fontId="1" fillId="0" borderId="0" xfId="2" applyAlignment="1">
      <alignment horizontal="left" vertical="top"/>
    </xf>
    <xf numFmtId="0" fontId="11" fillId="0" borderId="13" xfId="2" applyFont="1" applyBorder="1" applyAlignment="1">
      <alignment vertical="top"/>
    </xf>
    <xf numFmtId="0" fontId="1" fillId="0" borderId="14" xfId="2" applyBorder="1"/>
    <xf numFmtId="0" fontId="1" fillId="0" borderId="15" xfId="2" applyBorder="1"/>
    <xf numFmtId="0" fontId="18" fillId="0" borderId="0" xfId="2" applyFont="1" applyAlignment="1">
      <alignment vertical="top"/>
    </xf>
    <xf numFmtId="0" fontId="18" fillId="0" borderId="0" xfId="2" applyFont="1"/>
    <xf numFmtId="0" fontId="13" fillId="0" borderId="0" xfId="2" applyFont="1" applyAlignment="1">
      <alignment horizontal="left" vertical="top"/>
    </xf>
    <xf numFmtId="0" fontId="11" fillId="0" borderId="5" xfId="2" applyFont="1" applyBorder="1" applyAlignment="1">
      <alignment horizontal="left" vertical="top" wrapText="1"/>
    </xf>
    <xf numFmtId="0" fontId="11" fillId="0" borderId="5" xfId="2" applyFont="1" applyBorder="1" applyAlignment="1">
      <alignment horizontal="center" vertical="top"/>
    </xf>
    <xf numFmtId="0" fontId="14" fillId="0" borderId="0" xfId="2" applyFont="1"/>
    <xf numFmtId="0" fontId="14" fillId="0" borderId="0" xfId="0" applyFont="1"/>
    <xf numFmtId="0" fontId="14" fillId="0" borderId="2" xfId="0" applyFont="1" applyBorder="1"/>
    <xf numFmtId="0" fontId="14" fillId="0" borderId="4" xfId="0" applyFont="1" applyBorder="1"/>
    <xf numFmtId="0" fontId="2" fillId="0" borderId="2" xfId="0" applyFont="1" applyBorder="1" applyAlignment="1">
      <alignment horizontal="center" wrapText="1"/>
    </xf>
    <xf numFmtId="0" fontId="21" fillId="0" borderId="0" xfId="0" applyFont="1" applyAlignment="1">
      <alignment horizontal="left" vertical="center"/>
    </xf>
    <xf numFmtId="0" fontId="2" fillId="0" borderId="0" xfId="0" applyFont="1"/>
    <xf numFmtId="0" fontId="2" fillId="0" borderId="0" xfId="0" applyFont="1" applyAlignment="1">
      <alignment horizontal="center" vertical="center"/>
    </xf>
    <xf numFmtId="0" fontId="22" fillId="4" borderId="22" xfId="10" applyFont="1" applyAlignment="1">
      <alignment horizontal="center" vertical="center"/>
    </xf>
    <xf numFmtId="0" fontId="22" fillId="4" borderId="22" xfId="10" applyFont="1"/>
    <xf numFmtId="0" fontId="2" fillId="0" borderId="5" xfId="0" applyFont="1" applyBorder="1" applyAlignment="1">
      <alignment horizontal="center" vertical="center"/>
    </xf>
    <xf numFmtId="0" fontId="2" fillId="0" borderId="5" xfId="0" applyFont="1" applyBorder="1"/>
    <xf numFmtId="0" fontId="19" fillId="3" borderId="21" xfId="9" applyAlignment="1">
      <alignment horizontal="center" vertical="center"/>
    </xf>
    <xf numFmtId="0" fontId="19" fillId="3" borderId="21" xfId="9"/>
    <xf numFmtId="3" fontId="19" fillId="3" borderId="21" xfId="9" applyNumberFormat="1"/>
    <xf numFmtId="3" fontId="22" fillId="4" borderId="22" xfId="10" applyNumberFormat="1" applyFont="1"/>
    <xf numFmtId="0" fontId="13" fillId="0" borderId="0" xfId="2" applyFont="1" applyAlignment="1">
      <alignment wrapText="1"/>
    </xf>
    <xf numFmtId="39" fontId="2" fillId="0" borderId="0" xfId="0" applyNumberFormat="1" applyFont="1" applyAlignment="1">
      <alignment horizontal="right"/>
    </xf>
    <xf numFmtId="0" fontId="7" fillId="0" borderId="0" xfId="2" applyFont="1" applyAlignment="1">
      <alignment horizontal="left" vertical="top"/>
    </xf>
    <xf numFmtId="0" fontId="2" fillId="0" borderId="0" xfId="0" applyFont="1" applyAlignment="1">
      <alignment horizontal="left" vertical="center" wrapText="1"/>
    </xf>
    <xf numFmtId="0" fontId="0" fillId="0" borderId="0" xfId="0" applyProtection="1">
      <protection locked="0"/>
    </xf>
    <xf numFmtId="0" fontId="12" fillId="0" borderId="0" xfId="2" applyFont="1" applyAlignment="1" applyProtection="1">
      <alignment vertical="top"/>
      <protection locked="0"/>
    </xf>
    <xf numFmtId="0" fontId="1" fillId="0" borderId="0" xfId="2" applyProtection="1">
      <protection locked="0"/>
    </xf>
    <xf numFmtId="0" fontId="11" fillId="0" borderId="0" xfId="2" applyFont="1" applyAlignment="1" applyProtection="1">
      <alignment vertical="top"/>
      <protection locked="0"/>
    </xf>
    <xf numFmtId="0" fontId="13" fillId="0" borderId="0" xfId="2" applyFont="1" applyAlignment="1" applyProtection="1">
      <alignment vertical="top"/>
      <protection locked="0"/>
    </xf>
    <xf numFmtId="0" fontId="13" fillId="0" borderId="2" xfId="2" applyFont="1" applyBorder="1" applyAlignment="1" applyProtection="1">
      <alignment vertical="top"/>
      <protection locked="0"/>
    </xf>
    <xf numFmtId="0" fontId="9" fillId="0" borderId="0" xfId="0" applyFont="1" applyProtection="1">
      <protection locked="0"/>
    </xf>
    <xf numFmtId="0" fontId="13" fillId="0" borderId="4" xfId="2" applyFont="1" applyBorder="1" applyAlignment="1" applyProtection="1">
      <alignment vertical="top"/>
      <protection locked="0"/>
    </xf>
    <xf numFmtId="0" fontId="11" fillId="0" borderId="0" xfId="2" applyFont="1" applyAlignment="1" applyProtection="1">
      <alignment vertical="top" wrapText="1"/>
      <protection locked="0"/>
    </xf>
    <xf numFmtId="0" fontId="12" fillId="0" borderId="0" xfId="6" applyFont="1" applyAlignment="1" applyProtection="1">
      <alignment vertical="top" wrapText="1"/>
      <protection locked="0"/>
    </xf>
    <xf numFmtId="0" fontId="16" fillId="0" borderId="0" xfId="2" applyFont="1" applyAlignment="1" applyProtection="1">
      <alignment vertical="top"/>
      <protection locked="0"/>
    </xf>
    <xf numFmtId="0" fontId="11" fillId="0" borderId="5" xfId="2" applyFont="1" applyBorder="1" applyAlignment="1" applyProtection="1">
      <alignment vertical="top"/>
      <protection locked="0"/>
    </xf>
    <xf numFmtId="0" fontId="12" fillId="0" borderId="5" xfId="6" applyFont="1" applyBorder="1" applyAlignment="1" applyProtection="1">
      <alignment horizontal="center" vertical="top" wrapText="1"/>
      <protection locked="0"/>
    </xf>
    <xf numFmtId="0" fontId="13" fillId="0" borderId="5" xfId="2" applyFont="1" applyBorder="1" applyAlignment="1" applyProtection="1">
      <alignment vertical="top"/>
      <protection locked="0"/>
    </xf>
    <xf numFmtId="0" fontId="11" fillId="2" borderId="6" xfId="2" applyFont="1" applyFill="1" applyBorder="1" applyAlignment="1" applyProtection="1">
      <alignment horizontal="left" vertical="top"/>
      <protection locked="0"/>
    </xf>
    <xf numFmtId="0" fontId="11" fillId="2" borderId="4" xfId="2" applyFont="1" applyFill="1" applyBorder="1" applyAlignment="1" applyProtection="1">
      <alignment horizontal="left" vertical="top"/>
      <protection locked="0"/>
    </xf>
    <xf numFmtId="0" fontId="12" fillId="0" borderId="5" xfId="6" applyFont="1" applyBorder="1" applyAlignment="1" applyProtection="1">
      <alignment horizontal="center" vertical="center" wrapText="1"/>
      <protection locked="0"/>
    </xf>
    <xf numFmtId="0" fontId="14" fillId="0" borderId="5" xfId="6" applyFont="1" applyBorder="1" applyAlignment="1" applyProtection="1">
      <alignment horizontal="center" vertical="center"/>
      <protection locked="0"/>
    </xf>
    <xf numFmtId="0" fontId="25" fillId="0" borderId="0" xfId="0" applyFont="1" applyProtection="1">
      <protection locked="0"/>
    </xf>
    <xf numFmtId="0" fontId="11" fillId="2" borderId="5" xfId="2" applyFont="1" applyFill="1" applyBorder="1" applyAlignment="1" applyProtection="1">
      <alignment horizontal="left" vertical="top"/>
      <protection locked="0"/>
    </xf>
    <xf numFmtId="17" fontId="2" fillId="0" borderId="2" xfId="1" quotePrefix="1" applyNumberFormat="1" applyFont="1" applyBorder="1" applyAlignment="1">
      <alignment horizontal="center" wrapText="1"/>
    </xf>
    <xf numFmtId="165" fontId="2" fillId="0" borderId="2" xfId="3" applyNumberFormat="1" applyFont="1" applyBorder="1" applyAlignment="1">
      <alignment horizontal="center" wrapText="1"/>
    </xf>
    <xf numFmtId="0" fontId="2" fillId="0" borderId="0" xfId="0" applyFont="1" applyAlignment="1">
      <alignment horizontal="left" vertical="center"/>
    </xf>
    <xf numFmtId="0" fontId="13" fillId="0" borderId="5" xfId="2" applyFont="1" applyBorder="1" applyAlignment="1" applyProtection="1">
      <alignment horizontal="left" vertical="center"/>
      <protection locked="0"/>
    </xf>
    <xf numFmtId="164" fontId="13" fillId="0" borderId="5" xfId="2" applyNumberFormat="1" applyFont="1" applyBorder="1" applyAlignment="1" applyProtection="1">
      <alignment horizontal="left" vertical="center"/>
      <protection locked="0"/>
    </xf>
    <xf numFmtId="4" fontId="2" fillId="0" borderId="0" xfId="1" applyNumberFormat="1" applyFont="1" applyAlignment="1">
      <alignment horizontal="right" vertical="center"/>
    </xf>
    <xf numFmtId="4" fontId="6" fillId="0" borderId="0" xfId="1" applyNumberFormat="1" applyFont="1" applyAlignment="1">
      <alignment horizontal="right" vertical="center"/>
    </xf>
    <xf numFmtId="4" fontId="2" fillId="0" borderId="0" xfId="1" quotePrefix="1" applyNumberFormat="1" applyFont="1" applyAlignment="1">
      <alignment horizontal="right" vertical="center"/>
    </xf>
    <xf numFmtId="4" fontId="6" fillId="0" borderId="3" xfId="1" applyNumberFormat="1" applyFont="1" applyBorder="1" applyAlignment="1">
      <alignment horizontal="right"/>
    </xf>
    <xf numFmtId="4" fontId="2" fillId="0" borderId="0" xfId="1" applyNumberFormat="1" applyFont="1" applyFill="1" applyAlignment="1">
      <alignment horizontal="right" vertical="center"/>
    </xf>
    <xf numFmtId="4" fontId="6" fillId="0" borderId="0" xfId="1" applyNumberFormat="1" applyFont="1" applyFill="1" applyAlignment="1">
      <alignment horizontal="right" vertical="center"/>
    </xf>
    <xf numFmtId="4" fontId="6" fillId="0" borderId="0" xfId="0" applyNumberFormat="1" applyFont="1" applyAlignment="1">
      <alignment horizontal="right" vertical="center"/>
    </xf>
    <xf numFmtId="4" fontId="6" fillId="0" borderId="1" xfId="0" applyNumberFormat="1" applyFont="1" applyBorder="1" applyAlignment="1">
      <alignment horizontal="right"/>
    </xf>
    <xf numFmtId="165" fontId="2" fillId="0" borderId="2" xfId="1" quotePrefix="1" applyNumberFormat="1" applyFont="1" applyBorder="1" applyAlignment="1">
      <alignment horizontal="center" wrapText="1"/>
    </xf>
    <xf numFmtId="165" fontId="2" fillId="0" borderId="2" xfId="0" applyNumberFormat="1" applyFont="1" applyBorder="1" applyAlignment="1">
      <alignment horizontal="center"/>
    </xf>
    <xf numFmtId="166" fontId="2" fillId="0" borderId="0" xfId="0" applyNumberFormat="1" applyFont="1" applyAlignment="1">
      <alignment horizontal="left" vertical="center"/>
    </xf>
    <xf numFmtId="0" fontId="9" fillId="0" borderId="0" xfId="0" applyFont="1" applyAlignment="1">
      <alignment horizontal="right" vertical="center"/>
    </xf>
    <xf numFmtId="0" fontId="12" fillId="0" borderId="6" xfId="6" applyFont="1" applyBorder="1" applyAlignment="1" applyProtection="1">
      <alignment horizontal="center" vertical="center" wrapText="1"/>
      <protection locked="0"/>
    </xf>
    <xf numFmtId="0" fontId="12" fillId="0" borderId="23" xfId="6" applyFont="1" applyBorder="1" applyAlignment="1" applyProtection="1">
      <alignment horizontal="center" vertical="center" wrapText="1"/>
      <protection locked="0"/>
    </xf>
    <xf numFmtId="0" fontId="12" fillId="0" borderId="0" xfId="6" applyFont="1" applyAlignment="1" applyProtection="1">
      <alignment horizontal="left" vertical="top" wrapText="1"/>
      <protection locked="0"/>
    </xf>
    <xf numFmtId="0" fontId="11" fillId="2" borderId="5" xfId="2" applyFont="1" applyFill="1" applyBorder="1" applyAlignment="1" applyProtection="1">
      <alignment horizontal="left" vertical="top"/>
      <protection locked="0"/>
    </xf>
    <xf numFmtId="0" fontId="14" fillId="0" borderId="6" xfId="6" applyFont="1" applyBorder="1" applyAlignment="1" applyProtection="1">
      <alignment horizontal="left" vertical="center"/>
      <protection locked="0"/>
    </xf>
    <xf numFmtId="0" fontId="14" fillId="0" borderId="23" xfId="6" applyFont="1" applyBorder="1" applyAlignment="1" applyProtection="1">
      <alignment horizontal="left" vertical="center"/>
      <protection locked="0"/>
    </xf>
    <xf numFmtId="0" fontId="1" fillId="0" borderId="7" xfId="2" applyBorder="1" applyAlignment="1">
      <alignment horizontal="left" vertical="top"/>
    </xf>
    <xf numFmtId="0" fontId="1" fillId="0" borderId="1" xfId="2" applyBorder="1" applyAlignment="1">
      <alignment horizontal="left" vertical="top"/>
    </xf>
    <xf numFmtId="0" fontId="1" fillId="0" borderId="8" xfId="2" applyBorder="1" applyAlignment="1">
      <alignment horizontal="left" vertical="top"/>
    </xf>
    <xf numFmtId="0" fontId="1" fillId="0" borderId="9" xfId="2" applyBorder="1" applyAlignment="1">
      <alignment horizontal="left" vertical="top"/>
    </xf>
    <xf numFmtId="0" fontId="1" fillId="0" borderId="0" xfId="2" applyAlignment="1">
      <alignment horizontal="left" vertical="top"/>
    </xf>
    <xf numFmtId="0" fontId="1" fillId="0" borderId="10" xfId="2" applyBorder="1" applyAlignment="1">
      <alignment horizontal="left" vertical="top"/>
    </xf>
    <xf numFmtId="0" fontId="1" fillId="0" borderId="11" xfId="2" applyBorder="1" applyAlignment="1">
      <alignment horizontal="left" vertical="top"/>
    </xf>
    <xf numFmtId="0" fontId="1" fillId="0" borderId="2" xfId="2" applyBorder="1" applyAlignment="1">
      <alignment horizontal="left" vertical="top"/>
    </xf>
    <xf numFmtId="0" fontId="1" fillId="0" borderId="12" xfId="2" applyBorder="1" applyAlignment="1">
      <alignment horizontal="left" vertical="top"/>
    </xf>
    <xf numFmtId="0" fontId="13" fillId="0" borderId="17" xfId="2" applyFont="1" applyBorder="1" applyAlignment="1">
      <alignment horizontal="left" vertical="top" wrapText="1"/>
    </xf>
    <xf numFmtId="0" fontId="13" fillId="0" borderId="0" xfId="2" applyFont="1" applyAlignment="1">
      <alignment horizontal="left" vertical="top"/>
    </xf>
    <xf numFmtId="0" fontId="13" fillId="0" borderId="16" xfId="2" applyFont="1" applyBorder="1" applyAlignment="1">
      <alignment horizontal="left" vertical="top"/>
    </xf>
    <xf numFmtId="0" fontId="13" fillId="0" borderId="18" xfId="2" applyFont="1" applyBorder="1" applyAlignment="1">
      <alignment horizontal="left" vertical="top"/>
    </xf>
    <xf numFmtId="0" fontId="13" fillId="0" borderId="19" xfId="2" applyFont="1" applyBorder="1" applyAlignment="1">
      <alignment horizontal="left" vertical="top"/>
    </xf>
    <xf numFmtId="0" fontId="13" fillId="0" borderId="20" xfId="2" applyFont="1" applyBorder="1" applyAlignment="1">
      <alignment horizontal="left" vertical="top"/>
    </xf>
    <xf numFmtId="0" fontId="16" fillId="0" borderId="13" xfId="2" applyFont="1" applyBorder="1" applyAlignment="1">
      <alignment horizontal="left" vertical="top" wrapText="1"/>
    </xf>
    <xf numFmtId="0" fontId="1" fillId="0" borderId="14" xfId="2" applyBorder="1" applyAlignment="1">
      <alignment horizontal="left" vertical="top" wrapText="1"/>
    </xf>
    <xf numFmtId="0" fontId="1" fillId="0" borderId="15" xfId="2" applyBorder="1" applyAlignment="1">
      <alignment horizontal="left" vertical="top" wrapText="1"/>
    </xf>
    <xf numFmtId="0" fontId="1" fillId="0" borderId="17" xfId="2" applyBorder="1" applyAlignment="1">
      <alignment horizontal="left" vertical="top" wrapText="1"/>
    </xf>
    <xf numFmtId="0" fontId="1" fillId="0" borderId="0" xfId="2" applyAlignment="1">
      <alignment horizontal="left" vertical="top" wrapText="1"/>
    </xf>
    <xf numFmtId="0" fontId="1" fillId="0" borderId="16" xfId="2" applyBorder="1" applyAlignment="1">
      <alignment horizontal="left" vertical="top" wrapText="1"/>
    </xf>
    <xf numFmtId="0" fontId="1" fillId="0" borderId="18" xfId="2" applyBorder="1" applyAlignment="1">
      <alignment horizontal="left" vertical="top" wrapText="1"/>
    </xf>
    <xf numFmtId="0" fontId="1" fillId="0" borderId="19" xfId="2" applyBorder="1" applyAlignment="1">
      <alignment horizontal="left" vertical="top" wrapText="1"/>
    </xf>
    <xf numFmtId="0" fontId="1" fillId="0" borderId="20" xfId="2" applyBorder="1" applyAlignment="1">
      <alignment horizontal="left" vertical="top" wrapText="1"/>
    </xf>
  </cellXfs>
  <cellStyles count="11">
    <cellStyle name="Calculation" xfId="9" builtinId="22"/>
    <cellStyle name="Check Cell" xfId="10" builtinId="23"/>
    <cellStyle name="Comma" xfId="1" builtinId="3"/>
    <cellStyle name="Comma 2" xfId="4" xr:uid="{00000000-0005-0000-0000-000003000000}"/>
    <cellStyle name="Comma 3" xfId="8" xr:uid="{00000000-0005-0000-0000-000004000000}"/>
    <cellStyle name="Comma 4" xfId="3" xr:uid="{00000000-0005-0000-0000-000005000000}"/>
    <cellStyle name="Normal" xfId="0" builtinId="0"/>
    <cellStyle name="Normal 2" xfId="5" xr:uid="{00000000-0005-0000-0000-000007000000}"/>
    <cellStyle name="Normal 3" xfId="7" xr:uid="{00000000-0005-0000-0000-000008000000}"/>
    <cellStyle name="Normal 4" xfId="2" xr:uid="{00000000-0005-0000-0000-000009000000}"/>
    <cellStyle name="Normal_Annex_A.2" xfId="6" xr:uid="{00000000-0005-0000-0000-00000A000000}"/>
  </cellStyles>
  <dxfs count="2">
    <dxf>
      <border>
        <left style="thin">
          <color auto="1"/>
        </left>
        <right style="thin">
          <color auto="1"/>
        </right>
        <top style="thin">
          <color auto="1"/>
        </top>
        <bottom style="thin">
          <color auto="1"/>
        </bottom>
        <vertical/>
        <horizontal/>
      </border>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10" Type="http://schemas.openxmlformats.org/officeDocument/2006/relationships/comments" Target="../comments1.xml"/><Relationship Id="rId4" Type="http://schemas.openxmlformats.org/officeDocument/2006/relationships/printerSettings" Target="../printerSettings/printerSettings4.bin"/><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6.bin"/><Relationship Id="rId3" Type="http://schemas.openxmlformats.org/officeDocument/2006/relationships/printerSettings" Target="../printerSettings/printerSettings11.bin"/><Relationship Id="rId7" Type="http://schemas.openxmlformats.org/officeDocument/2006/relationships/printerSettings" Target="../printerSettings/printerSettings15.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6" Type="http://schemas.openxmlformats.org/officeDocument/2006/relationships/printerSettings" Target="../printerSettings/printerSettings14.bin"/><Relationship Id="rId5" Type="http://schemas.openxmlformats.org/officeDocument/2006/relationships/printerSettings" Target="../printerSettings/printerSettings13.bin"/><Relationship Id="rId10" Type="http://schemas.openxmlformats.org/officeDocument/2006/relationships/comments" Target="../comments2.xml"/><Relationship Id="rId4" Type="http://schemas.openxmlformats.org/officeDocument/2006/relationships/printerSettings" Target="../printerSettings/printerSettings12.bin"/><Relationship Id="rId9"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4.bin"/><Relationship Id="rId3" Type="http://schemas.openxmlformats.org/officeDocument/2006/relationships/printerSettings" Target="../printerSettings/printerSettings19.bin"/><Relationship Id="rId7" Type="http://schemas.openxmlformats.org/officeDocument/2006/relationships/printerSettings" Target="../printerSettings/printerSettings23.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6" Type="http://schemas.openxmlformats.org/officeDocument/2006/relationships/printerSettings" Target="../printerSettings/printerSettings22.bin"/><Relationship Id="rId5" Type="http://schemas.openxmlformats.org/officeDocument/2006/relationships/printerSettings" Target="../printerSettings/printerSettings21.bin"/><Relationship Id="rId10" Type="http://schemas.openxmlformats.org/officeDocument/2006/relationships/comments" Target="../comments3.xml"/><Relationship Id="rId4" Type="http://schemas.openxmlformats.org/officeDocument/2006/relationships/printerSettings" Target="../printerSettings/printerSettings20.bin"/><Relationship Id="rId9"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32.bin"/><Relationship Id="rId3" Type="http://schemas.openxmlformats.org/officeDocument/2006/relationships/printerSettings" Target="../printerSettings/printerSettings27.bin"/><Relationship Id="rId7" Type="http://schemas.openxmlformats.org/officeDocument/2006/relationships/printerSettings" Target="../printerSettings/printerSettings31.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6" Type="http://schemas.openxmlformats.org/officeDocument/2006/relationships/printerSettings" Target="../printerSettings/printerSettings30.bin"/><Relationship Id="rId5" Type="http://schemas.openxmlformats.org/officeDocument/2006/relationships/printerSettings" Target="../printerSettings/printerSettings29.bin"/><Relationship Id="rId4" Type="http://schemas.openxmlformats.org/officeDocument/2006/relationships/printerSettings" Target="../printerSettings/printerSettings28.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40.bin"/><Relationship Id="rId3" Type="http://schemas.openxmlformats.org/officeDocument/2006/relationships/printerSettings" Target="../printerSettings/printerSettings35.bin"/><Relationship Id="rId7" Type="http://schemas.openxmlformats.org/officeDocument/2006/relationships/printerSettings" Target="../printerSettings/printerSettings39.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 Id="rId6" Type="http://schemas.openxmlformats.org/officeDocument/2006/relationships/printerSettings" Target="../printerSettings/printerSettings38.bin"/><Relationship Id="rId5" Type="http://schemas.openxmlformats.org/officeDocument/2006/relationships/printerSettings" Target="../printerSettings/printerSettings37.bin"/><Relationship Id="rId4"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3"/>
  <sheetViews>
    <sheetView topLeftCell="A14" zoomScaleNormal="100" zoomScaleSheetLayoutView="70" workbookViewId="0">
      <selection activeCell="H17" sqref="H17"/>
    </sheetView>
  </sheetViews>
  <sheetFormatPr defaultRowHeight="12.75" x14ac:dyDescent="0.2"/>
  <cols>
    <col min="1" max="1" width="18.7109375" customWidth="1"/>
    <col min="2" max="2" width="39.85546875" bestFit="1" customWidth="1"/>
    <col min="3" max="3" width="26.5703125" customWidth="1"/>
    <col min="4" max="4" width="21.7109375" customWidth="1"/>
    <col min="5" max="8" width="18.7109375" customWidth="1"/>
    <col min="9" max="9" width="13.28515625" bestFit="1" customWidth="1"/>
    <col min="10" max="10" width="15" bestFit="1" customWidth="1"/>
  </cols>
  <sheetData>
    <row r="1" spans="1:15" s="19" customFormat="1" ht="18" customHeight="1" x14ac:dyDescent="0.25">
      <c r="A1" s="24" t="s">
        <v>90</v>
      </c>
    </row>
    <row r="2" spans="1:15" s="19" customFormat="1" ht="18" customHeight="1" x14ac:dyDescent="0.25">
      <c r="A2" s="24" t="s">
        <v>121</v>
      </c>
      <c r="E2" s="22" t="s">
        <v>116</v>
      </c>
      <c r="F2" s="22"/>
    </row>
    <row r="3" spans="1:15" s="19" customFormat="1" ht="18" customHeight="1" x14ac:dyDescent="0.25">
      <c r="A3" s="24" t="s">
        <v>117</v>
      </c>
      <c r="E3" s="22" t="s">
        <v>103</v>
      </c>
      <c r="F3" s="22"/>
    </row>
    <row r="4" spans="1:15" s="19" customFormat="1" ht="18" customHeight="1" x14ac:dyDescent="0.25">
      <c r="A4" s="24" t="s">
        <v>119</v>
      </c>
      <c r="E4" s="22" t="s">
        <v>120</v>
      </c>
      <c r="F4" s="22"/>
    </row>
    <row r="5" spans="1:15" s="19" customFormat="1" ht="18" customHeight="1" x14ac:dyDescent="0.2"/>
    <row r="6" spans="1:15" s="19" customFormat="1" ht="18" customHeight="1" x14ac:dyDescent="0.25">
      <c r="A6" s="29" t="s">
        <v>0</v>
      </c>
    </row>
    <row r="7" spans="1:15" ht="15" x14ac:dyDescent="0.25">
      <c r="A7" s="1"/>
      <c r="B7" s="1"/>
      <c r="C7" s="1"/>
      <c r="D7" s="1"/>
      <c r="E7" s="1"/>
      <c r="F7" s="1"/>
      <c r="G7" s="1"/>
      <c r="H7" s="1"/>
      <c r="I7" s="1"/>
      <c r="J7" s="1"/>
      <c r="K7" s="1"/>
      <c r="L7" s="1"/>
      <c r="M7" s="1"/>
      <c r="N7" s="1"/>
      <c r="O7" s="1"/>
    </row>
    <row r="8" spans="1:15" ht="39" x14ac:dyDescent="0.25">
      <c r="A8" s="2" t="s">
        <v>59</v>
      </c>
      <c r="B8" s="2" t="s">
        <v>61</v>
      </c>
      <c r="C8" s="3" t="s">
        <v>63</v>
      </c>
      <c r="D8" s="3" t="s">
        <v>62</v>
      </c>
      <c r="E8" s="3" t="s">
        <v>11</v>
      </c>
      <c r="F8" s="3" t="s">
        <v>1</v>
      </c>
      <c r="G8" s="3" t="s">
        <v>91</v>
      </c>
      <c r="H8" s="3" t="s">
        <v>2</v>
      </c>
      <c r="I8" s="1"/>
      <c r="J8" s="1"/>
      <c r="K8" s="1"/>
      <c r="L8" s="1"/>
      <c r="M8" s="1"/>
      <c r="N8" s="1"/>
      <c r="O8" s="1"/>
    </row>
    <row r="9" spans="1:15" ht="26.25" x14ac:dyDescent="0.25">
      <c r="A9" s="61" t="s">
        <v>60</v>
      </c>
      <c r="B9" s="4"/>
      <c r="C9" s="5"/>
      <c r="D9" s="5"/>
      <c r="E9" s="110" t="s">
        <v>127</v>
      </c>
      <c r="F9" s="110" t="s">
        <v>127</v>
      </c>
      <c r="G9" s="97" t="s">
        <v>116</v>
      </c>
      <c r="H9" s="97" t="s">
        <v>116</v>
      </c>
      <c r="I9" s="1"/>
      <c r="J9" s="1"/>
      <c r="K9" s="1"/>
      <c r="L9" s="1"/>
      <c r="M9" s="1"/>
      <c r="N9" s="1"/>
      <c r="O9" s="1"/>
    </row>
    <row r="10" spans="1:15" ht="15" x14ac:dyDescent="0.25">
      <c r="A10" s="6"/>
      <c r="B10" s="6"/>
      <c r="C10" s="7"/>
      <c r="D10" s="7"/>
      <c r="E10" s="8" t="s">
        <v>3</v>
      </c>
      <c r="F10" s="8" t="s">
        <v>4</v>
      </c>
      <c r="G10" s="33" t="s">
        <v>92</v>
      </c>
      <c r="H10" s="34" t="s">
        <v>93</v>
      </c>
      <c r="I10" s="1"/>
      <c r="J10" s="1"/>
      <c r="K10" s="1"/>
      <c r="L10" s="1"/>
      <c r="M10" s="1"/>
      <c r="N10" s="1"/>
      <c r="O10" s="1"/>
    </row>
    <row r="11" spans="1:15" ht="15" x14ac:dyDescent="0.25">
      <c r="A11" s="6"/>
      <c r="B11" s="99"/>
      <c r="C11" s="102"/>
      <c r="D11" s="102"/>
      <c r="E11" s="102"/>
      <c r="F11" s="102"/>
      <c r="G11" s="103"/>
      <c r="H11" s="104"/>
      <c r="I11" s="1"/>
      <c r="J11" s="1"/>
      <c r="K11" s="1"/>
      <c r="L11" s="1"/>
      <c r="M11" s="1"/>
      <c r="N11" s="1"/>
      <c r="O11" s="1"/>
    </row>
    <row r="12" spans="1:15" ht="15" x14ac:dyDescent="0.25">
      <c r="A12" s="6"/>
      <c r="B12" s="76" t="s">
        <v>108</v>
      </c>
      <c r="C12" s="106" t="s">
        <v>113</v>
      </c>
      <c r="D12" s="106"/>
      <c r="E12" s="103" t="s">
        <v>114</v>
      </c>
      <c r="F12" s="102" t="s">
        <v>114</v>
      </c>
      <c r="G12" s="102" t="s">
        <v>143</v>
      </c>
      <c r="H12" s="103" t="e">
        <f>G12+F12-E12</f>
        <v>#VALUE!</v>
      </c>
      <c r="J12" s="1"/>
      <c r="K12" s="1"/>
      <c r="L12" s="1"/>
      <c r="M12" s="1"/>
      <c r="N12" s="1"/>
      <c r="O12" s="1"/>
    </row>
    <row r="13" spans="1:15" ht="15" x14ac:dyDescent="0.25">
      <c r="A13" s="6"/>
      <c r="B13" s="76" t="s">
        <v>109</v>
      </c>
      <c r="C13" s="106" t="s">
        <v>113</v>
      </c>
      <c r="D13" s="107"/>
      <c r="E13" s="103" t="s">
        <v>114</v>
      </c>
      <c r="F13" s="102" t="s">
        <v>114</v>
      </c>
      <c r="G13" s="102" t="s">
        <v>143</v>
      </c>
      <c r="H13" s="103" t="e">
        <f t="shared" ref="H13:H17" si="0">G13+F13-E13</f>
        <v>#VALUE!</v>
      </c>
      <c r="J13" s="1"/>
      <c r="K13" s="1"/>
      <c r="L13" s="1"/>
      <c r="M13" s="1"/>
      <c r="N13" s="1"/>
      <c r="O13" s="1"/>
    </row>
    <row r="14" spans="1:15" ht="15" x14ac:dyDescent="0.25">
      <c r="A14" s="6"/>
      <c r="B14" s="76" t="s">
        <v>110</v>
      </c>
      <c r="C14" s="106" t="s">
        <v>130</v>
      </c>
      <c r="D14" s="106"/>
      <c r="E14" s="102" t="s">
        <v>131</v>
      </c>
      <c r="F14" s="102" t="s">
        <v>131</v>
      </c>
      <c r="G14" s="102" t="s">
        <v>132</v>
      </c>
      <c r="H14" s="103" t="e">
        <f t="shared" si="0"/>
        <v>#VALUE!</v>
      </c>
      <c r="J14" s="1"/>
      <c r="K14" s="1"/>
      <c r="L14" s="1"/>
      <c r="M14" s="1"/>
      <c r="N14" s="1"/>
      <c r="O14" s="1"/>
    </row>
    <row r="15" spans="1:15" ht="15" x14ac:dyDescent="0.25">
      <c r="A15" s="6"/>
      <c r="B15" s="76" t="s">
        <v>111</v>
      </c>
      <c r="C15" s="106" t="s">
        <v>113</v>
      </c>
      <c r="D15" s="107"/>
      <c r="E15" s="103" t="s">
        <v>114</v>
      </c>
      <c r="F15" s="102" t="s">
        <v>114</v>
      </c>
      <c r="G15" s="102" t="s">
        <v>143</v>
      </c>
      <c r="H15" s="103" t="e">
        <f t="shared" si="0"/>
        <v>#VALUE!</v>
      </c>
      <c r="J15" s="1"/>
      <c r="K15" s="1"/>
      <c r="L15" s="1"/>
      <c r="M15" s="1"/>
      <c r="N15" s="1"/>
      <c r="O15" s="1"/>
    </row>
    <row r="16" spans="1:15" ht="15" x14ac:dyDescent="0.25">
      <c r="A16" s="6"/>
      <c r="B16" s="76" t="s">
        <v>112</v>
      </c>
      <c r="C16" s="106" t="s">
        <v>113</v>
      </c>
      <c r="D16" s="107"/>
      <c r="E16" s="103" t="s">
        <v>114</v>
      </c>
      <c r="F16" s="102" t="s">
        <v>114</v>
      </c>
      <c r="G16" s="102" t="s">
        <v>143</v>
      </c>
      <c r="H16" s="103" t="e">
        <f t="shared" si="0"/>
        <v>#VALUE!</v>
      </c>
      <c r="J16" s="1"/>
      <c r="K16" s="1"/>
      <c r="L16" s="1"/>
      <c r="M16" s="1"/>
      <c r="N16" s="1"/>
      <c r="O16" s="1"/>
    </row>
    <row r="17" spans="1:15" ht="15" x14ac:dyDescent="0.25">
      <c r="A17" s="6"/>
      <c r="B17" s="75" t="s">
        <v>144</v>
      </c>
      <c r="C17" s="108" cm="1">
        <f t="array" aca="1" ref="C17" ca="1">ROUND(SUM(C12:C16)*SUMPRODUCT(MID(0&amp;B17, LARGE(INDEX(ISNUMBER(--MID(B17, ROW(INDIRECT("1:"&amp;LEN(B17))), 1)) * ROW(INDIRECT("1:"&amp;LEN(B17))), 0), ROW(INDIRECT("1:"&amp;LEN(B17))))+1, 1) * 10^ROW(INDIRECT("1:"&amp;LEN(B17)))/10)%, 2)</f>
        <v>0</v>
      </c>
      <c r="D17" s="108" cm="1">
        <f t="array" aca="1" ref="D17" ca="1">ROUND(SUM(D12:D16)*SUMPRODUCT(MID(0&amp;B17, LARGE(INDEX(ISNUMBER(--MID(B17, ROW(INDIRECT("1:"&amp;LEN(B17))), 1)) * ROW(INDIRECT("1:"&amp;LEN(B17))), 0), ROW(INDIRECT("1:"&amp;LEN(B17))))+1, 1) * 10^ROW(INDIRECT("1:"&amp;LEN(B17)))/10)%, 2)</f>
        <v>0</v>
      </c>
      <c r="E17" s="108" cm="1">
        <f t="array" aca="1" ref="E17" ca="1">ROUND(SUM(E12:E16)*SUMPRODUCT(MID(0&amp;B17, LARGE(INDEX(ISNUMBER(--MID(B17, ROW(INDIRECT("1:"&amp;LEN(B17))), 1)) * ROW(INDIRECT("1:"&amp;LEN(B17))), 0), ROW(INDIRECT("1:"&amp;LEN(B17))))+1, 1) * 10^ROW(INDIRECT("1:"&amp;LEN(B17)))/10)%, 2)</f>
        <v>0</v>
      </c>
      <c r="F17" s="108" cm="1">
        <f t="array" aca="1" ref="F17" ca="1">ROUND(SUM(F12:F16)*SUMPRODUCT(MID(0&amp;B17, LARGE(INDEX(ISNUMBER(--MID(B17, ROW(INDIRECT("1:"&amp;LEN(B17))), 1)) * ROW(INDIRECT("1:"&amp;LEN(B17))), 0), ROW(INDIRECT("1:"&amp;LEN(B17))))+1, 1) * 10^ROW(INDIRECT("1:"&amp;LEN(B17)))/10)%, 2)</f>
        <v>0</v>
      </c>
      <c r="G17" s="108" cm="1">
        <f t="array" aca="1" ref="G17" ca="1">ROUND(SUM(G12:G16)*SUMPRODUCT(MID(0&amp;B17, LARGE(INDEX(ISNUMBER(--MID(B17, ROW(INDIRECT("1:"&amp;LEN(B17))), 1)) * ROW(INDIRECT("1:"&amp;LEN(B17))), 0), ROW(INDIRECT("1:"&amp;LEN(B17))))+1, 1) * 10^ROW(INDIRECT("1:"&amp;LEN(B17)))/10)%, 2)</f>
        <v>0</v>
      </c>
      <c r="H17" s="103">
        <f t="shared" ca="1" si="0"/>
        <v>0</v>
      </c>
      <c r="I17" s="1"/>
      <c r="J17" s="1"/>
      <c r="K17" s="1"/>
      <c r="L17" s="1"/>
      <c r="M17" s="1"/>
      <c r="N17" s="1"/>
      <c r="O17" s="1"/>
    </row>
    <row r="18" spans="1:15" ht="20.100000000000001" customHeight="1" x14ac:dyDescent="0.25">
      <c r="A18" s="14"/>
      <c r="B18" s="14"/>
      <c r="C18" s="10"/>
      <c r="D18" s="10"/>
      <c r="E18" s="7"/>
      <c r="F18" s="7"/>
      <c r="G18" s="15"/>
      <c r="H18" s="11"/>
      <c r="I18" s="12"/>
      <c r="J18" s="13"/>
      <c r="K18" s="13"/>
      <c r="L18" s="1"/>
      <c r="M18" s="1"/>
      <c r="N18" s="1"/>
      <c r="O18" s="1"/>
    </row>
    <row r="19" spans="1:15" ht="20.100000000000001" customHeight="1" thickBot="1" x14ac:dyDescent="0.3">
      <c r="A19" s="6"/>
      <c r="B19" s="6"/>
      <c r="C19" s="6"/>
      <c r="D19" s="6"/>
      <c r="E19" s="6"/>
      <c r="F19" s="6"/>
      <c r="G19" s="17" t="s">
        <v>5</v>
      </c>
      <c r="H19" s="105" t="e">
        <f>SUM(H11:H18)</f>
        <v>#VALUE!</v>
      </c>
      <c r="I19" s="1"/>
      <c r="J19" s="1"/>
      <c r="K19" s="1"/>
      <c r="L19" s="1"/>
      <c r="M19" s="1"/>
      <c r="N19" s="1"/>
      <c r="O19" s="1"/>
    </row>
    <row r="20" spans="1:15" ht="15" thickTop="1" x14ac:dyDescent="0.2">
      <c r="A20" s="19"/>
      <c r="B20" s="19"/>
      <c r="C20" s="19"/>
      <c r="D20" s="19"/>
      <c r="E20" s="19"/>
      <c r="F20" s="19"/>
      <c r="G20" s="19"/>
      <c r="H20" s="20"/>
    </row>
    <row r="21" spans="1:15" ht="14.25" x14ac:dyDescent="0.2">
      <c r="A21" s="19"/>
      <c r="B21" s="19"/>
      <c r="C21" s="19"/>
      <c r="D21" s="19"/>
      <c r="E21" s="19"/>
      <c r="F21" s="19"/>
      <c r="G21" s="19"/>
      <c r="H21" s="19"/>
    </row>
    <row r="22" spans="1:15" ht="15" x14ac:dyDescent="0.25">
      <c r="A22" s="21" t="s">
        <v>16</v>
      </c>
      <c r="B22" s="21"/>
      <c r="C22" s="19"/>
      <c r="D22" s="19"/>
      <c r="E22" s="19"/>
      <c r="F22" s="19"/>
      <c r="G22" s="30"/>
      <c r="H22" s="19"/>
    </row>
    <row r="23" spans="1:15" ht="14.25" x14ac:dyDescent="0.2">
      <c r="A23" s="19" t="s">
        <v>14</v>
      </c>
      <c r="B23" s="19"/>
      <c r="C23" s="19"/>
      <c r="D23" s="19"/>
      <c r="E23" s="19"/>
      <c r="F23" s="19"/>
      <c r="G23" s="19"/>
      <c r="H23" s="19"/>
    </row>
    <row r="24" spans="1:15" ht="14.25" x14ac:dyDescent="0.2">
      <c r="A24" s="19" t="s">
        <v>12</v>
      </c>
      <c r="B24" s="19"/>
      <c r="C24" s="19"/>
      <c r="D24" s="19"/>
      <c r="E24" s="19"/>
      <c r="F24" s="19"/>
      <c r="G24" s="19"/>
      <c r="H24" s="19"/>
    </row>
    <row r="25" spans="1:15" ht="14.25" x14ac:dyDescent="0.2">
      <c r="A25" s="19"/>
      <c r="B25" s="19"/>
      <c r="C25" s="19"/>
      <c r="D25" s="19"/>
      <c r="E25" s="19"/>
      <c r="F25" s="19"/>
      <c r="G25" s="19"/>
      <c r="H25" s="19"/>
    </row>
    <row r="26" spans="1:15" ht="15" x14ac:dyDescent="0.25">
      <c r="A26" s="24" t="s">
        <v>7</v>
      </c>
      <c r="B26" s="24"/>
      <c r="C26" s="19"/>
      <c r="D26" s="19"/>
      <c r="E26" s="19"/>
      <c r="F26" s="19"/>
      <c r="G26" s="19"/>
      <c r="H26" s="19"/>
    </row>
    <row r="27" spans="1:15" ht="20.100000000000001" customHeight="1" x14ac:dyDescent="0.2">
      <c r="A27" s="113" t="s">
        <v>8</v>
      </c>
      <c r="B27" s="113"/>
      <c r="C27" s="25"/>
      <c r="D27" s="27" t="s">
        <v>104</v>
      </c>
      <c r="E27" s="27"/>
      <c r="F27" s="25"/>
      <c r="G27" s="19"/>
      <c r="H27" s="19"/>
    </row>
    <row r="28" spans="1:15" ht="20.100000000000001" customHeight="1" x14ac:dyDescent="0.2">
      <c r="A28" s="113" t="s">
        <v>9</v>
      </c>
      <c r="B28" s="113"/>
      <c r="C28" s="25"/>
      <c r="D28" s="28" t="s">
        <v>105</v>
      </c>
      <c r="E28" s="28"/>
      <c r="F28" s="25"/>
      <c r="G28" s="19"/>
      <c r="H28" s="19"/>
    </row>
    <row r="29" spans="1:15" ht="20.100000000000001" customHeight="1" x14ac:dyDescent="0.2">
      <c r="A29" s="113" t="s">
        <v>10</v>
      </c>
      <c r="B29" s="113"/>
      <c r="C29" s="25"/>
      <c r="D29" s="28" t="s">
        <v>106</v>
      </c>
      <c r="E29" s="28"/>
      <c r="F29" s="25"/>
      <c r="G29" s="19"/>
      <c r="H29" s="19"/>
    </row>
    <row r="30" spans="1:15" ht="20.100000000000001" customHeight="1" x14ac:dyDescent="0.2">
      <c r="A30" s="19"/>
      <c r="B30" s="19"/>
      <c r="C30" s="19"/>
      <c r="D30" s="19"/>
      <c r="E30" s="19"/>
      <c r="F30" s="19"/>
      <c r="G30" s="19"/>
      <c r="H30" s="19"/>
    </row>
    <row r="31" spans="1:15" ht="20.100000000000001" customHeight="1" x14ac:dyDescent="0.2">
      <c r="A31" s="19" t="s">
        <v>139</v>
      </c>
      <c r="B31" s="19"/>
      <c r="C31" s="19"/>
      <c r="D31" s="22" t="s">
        <v>140</v>
      </c>
      <c r="E31" s="22"/>
      <c r="F31" s="19"/>
      <c r="G31" s="19"/>
      <c r="H31" s="19"/>
    </row>
    <row r="32" spans="1:15" ht="20.100000000000001" customHeight="1" x14ac:dyDescent="0.2">
      <c r="A32" s="19" t="s">
        <v>13</v>
      </c>
      <c r="B32" s="19"/>
      <c r="C32" s="19"/>
      <c r="D32" s="22"/>
      <c r="E32" s="22"/>
      <c r="F32" s="19"/>
      <c r="G32" s="19"/>
      <c r="H32" s="19"/>
    </row>
    <row r="33" spans="1:8" ht="20.100000000000001" customHeight="1" x14ac:dyDescent="0.2">
      <c r="A33" s="19" t="s">
        <v>6</v>
      </c>
      <c r="B33" s="19"/>
      <c r="C33" s="19"/>
      <c r="D33" s="26" t="s">
        <v>124</v>
      </c>
      <c r="E33" s="26"/>
      <c r="F33" s="19"/>
      <c r="G33" s="19"/>
      <c r="H33" s="19"/>
    </row>
    <row r="34" spans="1:8" ht="20.100000000000001" customHeight="1" x14ac:dyDescent="0.2">
      <c r="A34" s="19"/>
      <c r="B34" s="19"/>
      <c r="C34" s="19"/>
      <c r="D34" s="19"/>
      <c r="E34" s="19"/>
      <c r="F34" s="19"/>
      <c r="G34" s="19"/>
      <c r="H34" s="19"/>
    </row>
    <row r="35" spans="1:8" ht="20.100000000000001" customHeight="1" x14ac:dyDescent="0.2">
      <c r="A35" s="19" t="s">
        <v>17</v>
      </c>
      <c r="B35" s="19"/>
      <c r="C35" s="19"/>
      <c r="D35" s="22" t="s">
        <v>107</v>
      </c>
      <c r="E35" s="22"/>
      <c r="F35" s="19"/>
      <c r="G35" s="19"/>
      <c r="H35" s="19"/>
    </row>
    <row r="36" spans="1:8" ht="20.100000000000001" customHeight="1" x14ac:dyDescent="0.2">
      <c r="A36" s="19" t="s">
        <v>13</v>
      </c>
      <c r="B36" s="19"/>
      <c r="C36" s="19"/>
      <c r="D36" s="26"/>
      <c r="E36" s="26"/>
      <c r="F36" s="19"/>
      <c r="G36" s="19"/>
      <c r="H36" s="19"/>
    </row>
    <row r="37" spans="1:8" ht="20.100000000000001" customHeight="1" x14ac:dyDescent="0.2">
      <c r="A37" s="19" t="s">
        <v>6</v>
      </c>
      <c r="B37" s="19"/>
      <c r="C37" s="19"/>
      <c r="D37" s="26" t="s">
        <v>125</v>
      </c>
      <c r="E37" s="26"/>
      <c r="F37" s="19"/>
      <c r="G37" s="19"/>
      <c r="H37" s="19"/>
    </row>
    <row r="38" spans="1:8" ht="14.25" x14ac:dyDescent="0.2">
      <c r="A38" s="19"/>
      <c r="B38" s="19"/>
      <c r="C38" s="19"/>
      <c r="D38" s="19"/>
      <c r="E38" s="19"/>
      <c r="F38" s="19"/>
      <c r="G38" s="19"/>
      <c r="H38" s="19"/>
    </row>
    <row r="39" spans="1:8" ht="14.25" x14ac:dyDescent="0.2">
      <c r="A39" s="19"/>
      <c r="B39" s="19"/>
      <c r="C39" s="19"/>
      <c r="D39" s="19"/>
      <c r="E39" s="19"/>
      <c r="F39" s="19"/>
      <c r="G39" s="19"/>
      <c r="H39" s="19"/>
    </row>
    <row r="40" spans="1:8" ht="14.25" x14ac:dyDescent="0.2">
      <c r="B40" s="19"/>
      <c r="C40" s="19"/>
      <c r="D40" s="19"/>
      <c r="E40" s="19"/>
      <c r="F40" s="19"/>
      <c r="G40" s="19"/>
      <c r="H40" s="19"/>
    </row>
    <row r="41" spans="1:8" ht="14.25" x14ac:dyDescent="0.2">
      <c r="A41" s="23"/>
      <c r="B41" s="23"/>
      <c r="C41" s="19"/>
      <c r="D41" s="19"/>
      <c r="E41" s="19"/>
      <c r="F41" s="19"/>
      <c r="G41" s="19"/>
      <c r="H41" s="19"/>
    </row>
    <row r="42" spans="1:8" ht="14.25" x14ac:dyDescent="0.2">
      <c r="A42" s="19"/>
      <c r="B42" s="19"/>
      <c r="C42" s="19"/>
      <c r="D42" s="19"/>
      <c r="E42" s="19"/>
      <c r="F42" s="19"/>
      <c r="G42" s="19"/>
      <c r="H42" s="19"/>
    </row>
    <row r="43" spans="1:8" ht="14.25" x14ac:dyDescent="0.2">
      <c r="A43" s="19"/>
      <c r="B43" s="19"/>
      <c r="C43" s="19"/>
      <c r="D43" s="19"/>
      <c r="E43" s="19"/>
      <c r="F43" s="19"/>
      <c r="G43" s="19"/>
      <c r="H43" s="19"/>
    </row>
  </sheetData>
  <customSheetViews>
    <customSheetView guid="{429F8305-68BB-4ABC-90C3-15F066891119}" scale="85" showPageBreaks="1" fitToPage="1" printArea="1">
      <selection activeCell="H11" sqref="H11"/>
      <pageMargins left="0.59055118110236227" right="0.59055118110236227" top="0.39370078740157483" bottom="0.39370078740157483" header="0.39370078740157483" footer="0.39370078740157483"/>
      <printOptions horizontalCentered="1" verticalCentered="1"/>
      <pageSetup paperSize="9" scale="88" orientation="landscape" r:id="rId1"/>
      <headerFooter alignWithMargins="0">
        <oddFooter>&amp;RNRF/14 December 2011</oddFooter>
      </headerFooter>
    </customSheetView>
    <customSheetView guid="{8308D2E1-AB86-4CA4-BE3B-ED4FFBF05815}" scale="85" showPageBreaks="1" fitToPage="1" printArea="1">
      <selection activeCell="E1" sqref="E1"/>
      <pageMargins left="0.59055118110236227" right="0.59055118110236227" top="0.39370078740157483" bottom="0.39370078740157483" header="0.39370078740157483" footer="0.39370078740157483"/>
      <printOptions horizontalCentered="1" verticalCentered="1"/>
      <pageSetup paperSize="9" scale="88" orientation="landscape" r:id="rId2"/>
      <headerFooter alignWithMargins="0">
        <oddFooter>&amp;RNRF/14 December 2011</oddFooter>
      </headerFooter>
    </customSheetView>
    <customSheetView guid="{92A3E7EB-B758-49DF-97DF-5A8D46E78E41}" scale="90" showPageBreaks="1" fitToPage="1" printArea="1" view="pageBreakPreview">
      <selection activeCell="A2" sqref="A2"/>
      <pageMargins left="0.59055118110236227" right="0.59055118110236227" top="0.39370078740157483" bottom="0.39370078740157483" header="0.39370078740157483" footer="0.39370078740157483"/>
      <printOptions horizontalCentered="1" verticalCentered="1"/>
      <pageSetup paperSize="9" scale="78" orientation="landscape" r:id="rId3"/>
      <headerFooter alignWithMargins="0">
        <oddFooter>&amp;RNRF/14 December 2011</oddFooter>
      </headerFooter>
    </customSheetView>
    <customSheetView guid="{2D0FF612-2C81-4DE3-A53A-2E50C9075D5D}" scale="90" showPageBreaks="1" fitToPage="1" printArea="1" view="pageBreakPreview">
      <selection activeCell="A9" sqref="A9"/>
      <pageMargins left="0.59055118110236227" right="0.59055118110236227" top="0.39370078740157483" bottom="0.39370078740157483" header="0.39370078740157483" footer="0.39370078740157483"/>
      <printOptions horizontalCentered="1" verticalCentered="1"/>
      <pageSetup paperSize="9" scale="78" orientation="landscape" r:id="rId4"/>
      <headerFooter alignWithMargins="0">
        <oddFooter>&amp;RNRF/14 December 2011</oddFooter>
      </headerFooter>
    </customSheetView>
    <customSheetView guid="{5401927F-BD7B-4D49-AE97-64368FC18A60}" scale="90" showPageBreaks="1" fitToPage="1" printArea="1" view="pageBreakPreview">
      <selection activeCell="A9" sqref="A9"/>
      <pageMargins left="0.59055118110236227" right="0.59055118110236227" top="0.39370078740157483" bottom="0.39370078740157483" header="0.39370078740157483" footer="0.39370078740157483"/>
      <printOptions horizontalCentered="1" verticalCentered="1"/>
      <pageSetup paperSize="9" scale="78" orientation="landscape" r:id="rId5"/>
      <headerFooter alignWithMargins="0">
        <oddFooter>&amp;RNRF/14 December 2011</oddFooter>
      </headerFooter>
    </customSheetView>
    <customSheetView guid="{2C6533C7-057C-4A7C-ABD2-7930463500B1}" scale="85" showPageBreaks="1" fitToPage="1" printArea="1">
      <selection activeCell="E11" sqref="E11"/>
      <pageMargins left="0.59055118110236227" right="0.59055118110236227" top="0.39370078740157483" bottom="0.39370078740157483" header="0.39370078740157483" footer="0.39370078740157483"/>
      <printOptions horizontalCentered="1" verticalCentered="1"/>
      <pageSetup paperSize="9" scale="88" orientation="landscape" r:id="rId6"/>
      <headerFooter alignWithMargins="0">
        <oddFooter>&amp;RNRF/14 December 2011</oddFooter>
      </headerFooter>
    </customSheetView>
    <customSheetView guid="{F44AC75F-827A-46B7-974C-E8545DF2AEDE}" scale="85" fitToPage="1">
      <selection activeCell="D29" sqref="D29"/>
      <pageMargins left="0.59055118110236227" right="0.59055118110236227" top="0.39370078740157483" bottom="0.39370078740157483" header="0.39370078740157483" footer="0.39370078740157483"/>
      <printOptions horizontalCentered="1" verticalCentered="1"/>
      <pageSetup paperSize="9" scale="88" orientation="landscape" r:id="rId7"/>
      <headerFooter alignWithMargins="0">
        <oddFooter>&amp;RNRF/14 December 2011</oddFooter>
      </headerFooter>
    </customSheetView>
  </customSheetViews>
  <mergeCells count="3">
    <mergeCell ref="A27:B27"/>
    <mergeCell ref="A28:B28"/>
    <mergeCell ref="A29:B29"/>
  </mergeCells>
  <phoneticPr fontId="3" type="noConversion"/>
  <conditionalFormatting sqref="C12:H17">
    <cfRule type="containsBlanks" dxfId="1" priority="1">
      <formula>LEN(TRIM(C12))=0</formula>
    </cfRule>
  </conditionalFormatting>
  <printOptions horizontalCentered="1" verticalCentered="1"/>
  <pageMargins left="0.59055118110236227" right="0.59055118110236227" top="0.39370078740157483" bottom="0.39370078740157483" header="0.39370078740157483" footer="0.39370078740157483"/>
  <pageSetup paperSize="9" scale="85" orientation="landscape" r:id="rId8"/>
  <headerFooter alignWithMargins="0">
    <oddFooter>&amp;RNRF/14 December 2011</oddFooter>
  </headerFooter>
  <legacyDrawing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44"/>
  <sheetViews>
    <sheetView tabSelected="1" topLeftCell="A9" zoomScale="85" zoomScaleNormal="85" zoomScaleSheetLayoutView="85" workbookViewId="0">
      <selection activeCell="J17" sqref="J17"/>
    </sheetView>
  </sheetViews>
  <sheetFormatPr defaultRowHeight="12.75" x14ac:dyDescent="0.2"/>
  <cols>
    <col min="1" max="1" width="30.28515625" customWidth="1"/>
    <col min="2" max="3" width="18.7109375" customWidth="1"/>
    <col min="4" max="4" width="21.42578125" customWidth="1"/>
    <col min="5" max="5" width="21.7109375" customWidth="1"/>
    <col min="6" max="6" width="20.5703125" bestFit="1" customWidth="1"/>
    <col min="7" max="7" width="20.42578125" bestFit="1" customWidth="1"/>
    <col min="8" max="8" width="20.7109375" bestFit="1" customWidth="1"/>
    <col min="9" max="9" width="18.7109375" customWidth="1"/>
    <col min="10" max="10" width="20.85546875" customWidth="1"/>
    <col min="11" max="11" width="13.28515625" bestFit="1" customWidth="1"/>
    <col min="12" max="12" width="15" bestFit="1" customWidth="1"/>
  </cols>
  <sheetData>
    <row r="1" spans="1:17" s="19" customFormat="1" ht="18" customHeight="1" x14ac:dyDescent="0.25">
      <c r="A1" s="24" t="s">
        <v>102</v>
      </c>
    </row>
    <row r="2" spans="1:17" s="19" customFormat="1" ht="18" customHeight="1" x14ac:dyDescent="0.25">
      <c r="A2" s="24"/>
    </row>
    <row r="3" spans="1:17" s="19" customFormat="1" ht="18" customHeight="1" x14ac:dyDescent="0.25">
      <c r="A3" s="24" t="s">
        <v>98</v>
      </c>
      <c r="D3" s="22" t="s">
        <v>118</v>
      </c>
      <c r="E3" s="22"/>
      <c r="F3" s="22"/>
    </row>
    <row r="4" spans="1:17" s="19" customFormat="1" ht="18" customHeight="1" x14ac:dyDescent="0.25">
      <c r="A4" s="24" t="s">
        <v>15</v>
      </c>
      <c r="D4" s="22" t="s">
        <v>120</v>
      </c>
      <c r="E4" s="22"/>
      <c r="F4" s="22"/>
    </row>
    <row r="5" spans="1:17" s="19" customFormat="1" ht="18" customHeight="1" x14ac:dyDescent="0.2"/>
    <row r="6" spans="1:17" s="19" customFormat="1" ht="18" customHeight="1" x14ac:dyDescent="0.25">
      <c r="A6" s="29" t="s">
        <v>0</v>
      </c>
    </row>
    <row r="7" spans="1:17" ht="15" x14ac:dyDescent="0.25">
      <c r="A7" s="1"/>
      <c r="B7" s="1"/>
      <c r="C7" s="1"/>
      <c r="D7" s="1"/>
      <c r="E7" s="1"/>
      <c r="F7" s="1"/>
      <c r="G7" s="1"/>
      <c r="H7" s="1"/>
      <c r="I7" s="1"/>
      <c r="J7" s="1"/>
      <c r="K7" s="1"/>
      <c r="L7" s="1"/>
      <c r="M7" s="1"/>
      <c r="N7" s="1"/>
      <c r="O7" s="1"/>
      <c r="P7" s="1"/>
      <c r="Q7" s="1"/>
    </row>
    <row r="8" spans="1:17" ht="39" x14ac:dyDescent="0.25">
      <c r="A8" s="2" t="s">
        <v>61</v>
      </c>
      <c r="B8" s="2" t="s">
        <v>68</v>
      </c>
      <c r="C8" s="2" t="s">
        <v>67</v>
      </c>
      <c r="D8" s="3" t="s">
        <v>66</v>
      </c>
      <c r="E8" s="3" t="s">
        <v>69</v>
      </c>
      <c r="F8" s="3" t="s">
        <v>11</v>
      </c>
      <c r="G8" s="3" t="s">
        <v>1</v>
      </c>
      <c r="H8" s="3" t="s">
        <v>19</v>
      </c>
      <c r="I8" s="3" t="s">
        <v>20</v>
      </c>
      <c r="J8" s="3" t="s">
        <v>95</v>
      </c>
      <c r="K8" s="1"/>
      <c r="L8" s="1"/>
      <c r="M8" s="1"/>
      <c r="N8" s="1"/>
      <c r="O8" s="1"/>
      <c r="P8" s="1"/>
      <c r="Q8" s="1"/>
    </row>
    <row r="9" spans="1:17" ht="26.25" x14ac:dyDescent="0.25">
      <c r="A9" s="4"/>
      <c r="B9" s="4"/>
      <c r="C9" s="4"/>
      <c r="D9" s="5"/>
      <c r="E9" s="5"/>
      <c r="F9" s="111" t="s">
        <v>127</v>
      </c>
      <c r="G9" s="98" t="s">
        <v>127</v>
      </c>
      <c r="H9" s="98" t="s">
        <v>127</v>
      </c>
      <c r="I9" s="32"/>
      <c r="J9" s="32"/>
      <c r="K9" s="1"/>
      <c r="L9" s="1"/>
      <c r="M9" s="1"/>
      <c r="N9" s="1"/>
      <c r="O9" s="1"/>
      <c r="P9" s="1"/>
      <c r="Q9" s="1"/>
    </row>
    <row r="10" spans="1:17" ht="15" x14ac:dyDescent="0.25">
      <c r="A10" s="6"/>
      <c r="B10" s="6"/>
      <c r="C10" s="6"/>
      <c r="D10" s="7"/>
      <c r="E10" s="7"/>
      <c r="F10" s="8" t="s">
        <v>3</v>
      </c>
      <c r="G10" s="8" t="s">
        <v>4</v>
      </c>
      <c r="H10" s="33" t="s">
        <v>94</v>
      </c>
      <c r="I10" s="33" t="s">
        <v>21</v>
      </c>
      <c r="J10" s="34" t="s">
        <v>22</v>
      </c>
      <c r="K10" s="1"/>
      <c r="L10" s="1"/>
      <c r="M10" s="1"/>
      <c r="N10" s="1"/>
      <c r="O10" s="1"/>
      <c r="P10" s="1"/>
      <c r="Q10" s="1"/>
    </row>
    <row r="11" spans="1:17" ht="15" x14ac:dyDescent="0.25">
      <c r="A11" s="6"/>
      <c r="B11" s="6"/>
      <c r="C11" s="6"/>
      <c r="D11" s="7"/>
      <c r="E11" s="7"/>
      <c r="F11" s="8"/>
      <c r="G11" s="8"/>
      <c r="H11" s="9"/>
      <c r="I11" s="8"/>
      <c r="J11" s="9"/>
      <c r="K11" s="1"/>
      <c r="L11" s="1"/>
      <c r="M11" s="1"/>
      <c r="N11" s="1"/>
      <c r="O11" s="1"/>
      <c r="P11" s="1"/>
      <c r="Q11" s="1"/>
    </row>
    <row r="12" spans="1:17" ht="15" x14ac:dyDescent="0.25">
      <c r="A12" s="76" t="s">
        <v>108</v>
      </c>
      <c r="B12" s="112" t="s">
        <v>141</v>
      </c>
      <c r="C12" s="112" t="s">
        <v>142</v>
      </c>
      <c r="D12" s="106" t="s">
        <v>113</v>
      </c>
      <c r="E12" s="106"/>
      <c r="F12" s="103" t="s">
        <v>114</v>
      </c>
      <c r="G12" s="102" t="s">
        <v>114</v>
      </c>
      <c r="H12" s="102" t="s">
        <v>115</v>
      </c>
      <c r="I12" s="103" t="e">
        <f>G12+H12</f>
        <v>#VALUE!</v>
      </c>
      <c r="J12" s="103" t="e">
        <f>F12-I12</f>
        <v>#VALUE!</v>
      </c>
      <c r="K12" s="12"/>
      <c r="L12" s="13"/>
      <c r="M12" s="13"/>
      <c r="N12" s="1"/>
      <c r="O12" s="1"/>
      <c r="P12" s="1"/>
      <c r="Q12" s="13"/>
    </row>
    <row r="13" spans="1:17" ht="15" x14ac:dyDescent="0.25">
      <c r="A13" s="76" t="s">
        <v>109</v>
      </c>
      <c r="B13" s="112" t="s">
        <v>141</v>
      </c>
      <c r="C13" s="112" t="s">
        <v>142</v>
      </c>
      <c r="D13" s="107" t="s">
        <v>113</v>
      </c>
      <c r="E13" s="107"/>
      <c r="F13" s="103" t="s">
        <v>114</v>
      </c>
      <c r="G13" s="102" t="s">
        <v>114</v>
      </c>
      <c r="H13" s="103" t="s">
        <v>115</v>
      </c>
      <c r="I13" s="103" t="e">
        <f t="shared" ref="I13:I14" si="0">G13+H13</f>
        <v>#VALUE!</v>
      </c>
      <c r="J13" s="103" t="e">
        <f t="shared" ref="J13:J17" si="1">F13-I13</f>
        <v>#VALUE!</v>
      </c>
      <c r="K13" s="12"/>
      <c r="L13" s="13"/>
      <c r="M13" s="13"/>
      <c r="N13" s="1"/>
      <c r="O13" s="1"/>
      <c r="P13" s="1"/>
      <c r="Q13" s="13"/>
    </row>
    <row r="14" spans="1:17" ht="16.5" customHeight="1" x14ac:dyDescent="0.25">
      <c r="A14" s="76" t="s">
        <v>110</v>
      </c>
      <c r="B14" s="112" t="s">
        <v>141</v>
      </c>
      <c r="C14" s="112" t="s">
        <v>142</v>
      </c>
      <c r="D14" s="106" t="s">
        <v>130</v>
      </c>
      <c r="E14" s="106"/>
      <c r="F14" s="102" t="s">
        <v>131</v>
      </c>
      <c r="G14" s="102" t="s">
        <v>131</v>
      </c>
      <c r="H14" s="102" t="s">
        <v>132</v>
      </c>
      <c r="I14" s="103" t="e">
        <f t="shared" si="0"/>
        <v>#VALUE!</v>
      </c>
      <c r="J14" s="103" t="e">
        <f t="shared" si="1"/>
        <v>#VALUE!</v>
      </c>
      <c r="K14" s="12"/>
      <c r="L14" s="13"/>
      <c r="M14" s="13"/>
      <c r="N14" s="1"/>
      <c r="O14" s="1"/>
      <c r="P14" s="1"/>
      <c r="Q14" s="13"/>
    </row>
    <row r="15" spans="1:17" ht="15" x14ac:dyDescent="0.25">
      <c r="A15" s="76" t="s">
        <v>111</v>
      </c>
      <c r="B15" s="112" t="s">
        <v>141</v>
      </c>
      <c r="C15" s="112" t="s">
        <v>142</v>
      </c>
      <c r="D15" s="107" t="s">
        <v>113</v>
      </c>
      <c r="E15" s="107"/>
      <c r="F15" s="103" t="s">
        <v>114</v>
      </c>
      <c r="G15" s="102" t="s">
        <v>114</v>
      </c>
      <c r="H15" s="103" t="s">
        <v>115</v>
      </c>
      <c r="I15" s="103" t="e">
        <f>G15+H15</f>
        <v>#VALUE!</v>
      </c>
      <c r="J15" s="103" t="e">
        <f t="shared" si="1"/>
        <v>#VALUE!</v>
      </c>
      <c r="K15" s="12"/>
      <c r="L15" s="13"/>
      <c r="M15" s="13"/>
      <c r="N15" s="1"/>
      <c r="O15" s="1"/>
      <c r="P15" s="1"/>
      <c r="Q15" s="13"/>
    </row>
    <row r="16" spans="1:17" ht="15" x14ac:dyDescent="0.25">
      <c r="A16" s="76" t="s">
        <v>112</v>
      </c>
      <c r="B16" s="112" t="s">
        <v>141</v>
      </c>
      <c r="C16" s="112" t="s">
        <v>142</v>
      </c>
      <c r="D16" s="107" t="s">
        <v>113</v>
      </c>
      <c r="E16" s="107"/>
      <c r="F16" s="103" t="s">
        <v>114</v>
      </c>
      <c r="G16" s="102" t="s">
        <v>114</v>
      </c>
      <c r="H16" s="103" t="s">
        <v>115</v>
      </c>
      <c r="I16" s="103" t="e">
        <f>G16+H16</f>
        <v>#VALUE!</v>
      </c>
      <c r="J16" s="103" t="e">
        <f t="shared" si="1"/>
        <v>#VALUE!</v>
      </c>
      <c r="K16" s="12"/>
      <c r="L16" s="13"/>
      <c r="M16" s="13"/>
      <c r="N16" s="1"/>
      <c r="O16" s="1"/>
      <c r="P16" s="1"/>
      <c r="Q16" s="13"/>
    </row>
    <row r="17" spans="1:17" ht="20.100000000000001" customHeight="1" x14ac:dyDescent="0.25">
      <c r="A17" s="75" t="s">
        <v>145</v>
      </c>
      <c r="B17" s="14"/>
      <c r="C17" s="14"/>
      <c r="D17" s="108" cm="1">
        <f t="array" aca="1" ref="D17" ca="1">ROUND(SUM(D12:D16)*SUMPRODUCT(MID(0&amp;A17, LARGE(INDEX(ISNUMBER(--MID(A17, ROW(INDIRECT("1:"&amp;LEN(A17))), 1)) * ROW(INDIRECT("1:"&amp;LEN(A17))), 0), ROW(INDIRECT("1:"&amp;LEN(A17))))+1, 1) * 10^ROW(INDIRECT("1:"&amp;LEN(A17)))/10)%, 2)</f>
        <v>0</v>
      </c>
      <c r="E17" s="108" cm="1">
        <f t="array" aca="1" ref="E17" ca="1">ROUND(SUM(E12:E16)*SUMPRODUCT(MID(0&amp;A17, LARGE(INDEX(ISNUMBER(--MID(A17, ROW(INDIRECT("1:"&amp;LEN(A17))), 1)) * ROW(INDIRECT("1:"&amp;LEN(A17))), 0), ROW(INDIRECT("1:"&amp;LEN(A17))))+1, 1) * 10^ROW(INDIRECT("1:"&amp;LEN(A17)))/10)%, 2)</f>
        <v>0</v>
      </c>
      <c r="F17" s="108" cm="1">
        <f t="array" aca="1" ref="F17" ca="1">ROUND(SUM(F12:F16)*SUMPRODUCT(MID(0&amp;A17, LARGE(INDEX(ISNUMBER(--MID(A17, ROW(INDIRECT("1:"&amp;LEN(A17))), 1)) * ROW(INDIRECT("1:"&amp;LEN(A17))), 0), ROW(INDIRECT("1:"&amp;LEN(A17))))+1, 1) * 10^ROW(INDIRECT("1:"&amp;LEN(A17)))/10)%, 2)</f>
        <v>0</v>
      </c>
      <c r="G17" s="108" cm="1">
        <f t="array" aca="1" ref="G17" ca="1">ROUND(SUM(G12:G16)*SUMPRODUCT(MID(0&amp;A17, LARGE(INDEX(ISNUMBER(--MID(A17, ROW(INDIRECT("1:"&amp;LEN(A17))), 1)) * ROW(INDIRECT("1:"&amp;LEN(A17))), 0), ROW(INDIRECT("1:"&amp;LEN(A17))))+1, 1) * 10^ROW(INDIRECT("1:"&amp;LEN(A17)))/10)%, 2)</f>
        <v>0</v>
      </c>
      <c r="H17" s="108" cm="1">
        <f t="array" aca="1" ref="H17" ca="1">ROUND(SUM(H12:H16)*SUMPRODUCT(MID(0&amp;A17, LARGE(INDEX(ISNUMBER(--MID(A17, ROW(INDIRECT("1:"&amp;LEN(A17))), 1)) * ROW(INDIRECT("1:"&amp;LEN(A17))), 0), ROW(INDIRECT("1:"&amp;LEN(A17))))+1, 1) * 10^ROW(INDIRECT("1:"&amp;LEN(A17)))/10)%, 2)</f>
        <v>0</v>
      </c>
      <c r="I17" s="103">
        <f ca="1">G17+H17</f>
        <v>0</v>
      </c>
      <c r="J17" s="103">
        <f t="shared" ca="1" si="1"/>
        <v>0</v>
      </c>
      <c r="K17" s="12"/>
      <c r="L17" s="13"/>
      <c r="M17" s="13"/>
      <c r="N17" s="1"/>
      <c r="O17" s="1"/>
      <c r="P17" s="1"/>
      <c r="Q17" s="1"/>
    </row>
    <row r="18" spans="1:17" ht="20.100000000000001" customHeight="1" x14ac:dyDescent="0.25">
      <c r="A18" s="75"/>
      <c r="B18" s="6"/>
      <c r="C18" s="6"/>
      <c r="D18" s="6"/>
      <c r="E18" s="6"/>
      <c r="F18" s="6"/>
      <c r="G18" s="6"/>
      <c r="H18" s="16"/>
      <c r="I18" s="16"/>
      <c r="J18" s="109" t="e">
        <f>SUM(J12:J17)</f>
        <v>#VALUE!</v>
      </c>
      <c r="K18" s="12"/>
      <c r="L18" s="1"/>
      <c r="M18" s="1"/>
      <c r="N18" s="1"/>
      <c r="O18" s="1"/>
      <c r="P18" s="1"/>
      <c r="Q18" s="1"/>
    </row>
    <row r="19" spans="1:17" ht="20.100000000000001" customHeight="1" x14ac:dyDescent="0.25">
      <c r="A19" s="63"/>
      <c r="B19" s="6"/>
      <c r="C19" s="6"/>
      <c r="D19" s="6"/>
      <c r="E19" s="6"/>
      <c r="F19" s="6"/>
      <c r="G19" s="6"/>
      <c r="H19" s="6"/>
      <c r="I19" s="74" t="s">
        <v>126</v>
      </c>
      <c r="J19" s="18"/>
      <c r="K19" s="1"/>
      <c r="L19" s="1"/>
      <c r="M19" s="1"/>
      <c r="N19" s="1"/>
      <c r="O19" s="1"/>
      <c r="P19" s="1"/>
      <c r="Q19" s="1"/>
    </row>
    <row r="20" spans="1:17" ht="20.100000000000001" customHeight="1" thickBot="1" x14ac:dyDescent="0.3">
      <c r="A20" s="6"/>
      <c r="B20" s="6"/>
      <c r="C20" s="6"/>
      <c r="D20" s="6"/>
      <c r="E20" s="6"/>
      <c r="F20" s="6"/>
      <c r="G20" s="6"/>
      <c r="H20" s="6"/>
      <c r="I20" s="17" t="s">
        <v>5</v>
      </c>
      <c r="J20" s="105" t="e">
        <f>J18-J19</f>
        <v>#VALUE!</v>
      </c>
      <c r="K20" s="1"/>
      <c r="L20" s="1"/>
      <c r="M20" s="1"/>
      <c r="N20" s="1"/>
      <c r="O20" s="1"/>
      <c r="P20" s="1"/>
      <c r="Q20" s="1"/>
    </row>
    <row r="21" spans="1:17" ht="15" thickTop="1" x14ac:dyDescent="0.2">
      <c r="A21" s="19"/>
      <c r="B21" s="19"/>
      <c r="C21" s="19"/>
      <c r="D21" s="19"/>
      <c r="E21" s="19"/>
      <c r="F21" s="19"/>
      <c r="G21" s="19"/>
      <c r="H21" s="19"/>
      <c r="I21" s="19"/>
      <c r="J21" s="20"/>
    </row>
    <row r="22" spans="1:17" ht="14.25" x14ac:dyDescent="0.2">
      <c r="A22" s="19"/>
      <c r="B22" s="19"/>
      <c r="C22" s="19"/>
      <c r="D22" s="19"/>
      <c r="E22" s="19"/>
      <c r="F22" s="19"/>
      <c r="G22" s="19"/>
      <c r="H22" s="19"/>
      <c r="I22" s="19"/>
      <c r="J22" s="19"/>
    </row>
    <row r="23" spans="1:17" ht="15" x14ac:dyDescent="0.25">
      <c r="A23" s="21" t="s">
        <v>16</v>
      </c>
      <c r="B23" s="21"/>
      <c r="C23" s="21"/>
      <c r="D23" s="19"/>
      <c r="E23" s="19"/>
      <c r="F23" s="19"/>
      <c r="G23" s="19"/>
      <c r="H23" s="19"/>
      <c r="I23" s="30" t="s">
        <v>18</v>
      </c>
      <c r="J23" s="19"/>
    </row>
    <row r="24" spans="1:17" ht="14.25" x14ac:dyDescent="0.2">
      <c r="A24" s="19" t="s">
        <v>14</v>
      </c>
      <c r="B24" s="19"/>
      <c r="C24" s="19"/>
      <c r="D24" s="19"/>
      <c r="E24" s="19"/>
      <c r="F24" s="19"/>
      <c r="G24" s="19"/>
      <c r="H24" s="19"/>
      <c r="I24" s="19"/>
      <c r="J24" s="19"/>
    </row>
    <row r="25" spans="1:17" ht="14.25" x14ac:dyDescent="0.2">
      <c r="A25" s="19" t="s">
        <v>12</v>
      </c>
      <c r="B25" s="19"/>
      <c r="C25" s="19"/>
      <c r="D25" s="19"/>
      <c r="E25" s="19"/>
      <c r="F25" s="19"/>
      <c r="G25" s="19"/>
      <c r="H25" s="19"/>
      <c r="I25" s="19"/>
      <c r="J25" s="19"/>
    </row>
    <row r="26" spans="1:17" ht="14.25" x14ac:dyDescent="0.2">
      <c r="A26" s="19"/>
      <c r="B26" s="19"/>
      <c r="C26" s="19"/>
      <c r="D26" s="19"/>
      <c r="E26" s="19"/>
      <c r="F26" s="19"/>
      <c r="G26" s="19"/>
      <c r="H26" s="19"/>
      <c r="I26" s="19"/>
      <c r="J26" s="19"/>
    </row>
    <row r="27" spans="1:17" ht="15" x14ac:dyDescent="0.25">
      <c r="A27" s="24" t="s">
        <v>7</v>
      </c>
      <c r="B27" s="24"/>
      <c r="C27" s="24"/>
      <c r="D27" s="19"/>
      <c r="E27" s="19"/>
      <c r="F27" s="19"/>
      <c r="G27" s="19"/>
      <c r="H27" s="19"/>
      <c r="I27" s="19"/>
      <c r="J27" s="19"/>
    </row>
    <row r="28" spans="1:17" ht="20.100000000000001" customHeight="1" x14ac:dyDescent="0.2">
      <c r="A28" s="113" t="s">
        <v>8</v>
      </c>
      <c r="B28" s="113"/>
      <c r="C28" s="31"/>
      <c r="D28" s="25"/>
      <c r="E28" s="27" t="s">
        <v>104</v>
      </c>
      <c r="F28" s="27"/>
      <c r="G28" s="25"/>
      <c r="H28" s="19"/>
      <c r="I28" s="19"/>
      <c r="J28" s="19"/>
    </row>
    <row r="29" spans="1:17" ht="20.100000000000001" customHeight="1" x14ac:dyDescent="0.2">
      <c r="A29" s="113" t="s">
        <v>9</v>
      </c>
      <c r="B29" s="113"/>
      <c r="C29" s="31"/>
      <c r="D29" s="25"/>
      <c r="E29" s="28" t="s">
        <v>105</v>
      </c>
      <c r="F29" s="28"/>
      <c r="G29" s="25"/>
      <c r="H29" s="19"/>
      <c r="I29" s="19"/>
      <c r="J29" s="19"/>
    </row>
    <row r="30" spans="1:17" ht="20.100000000000001" customHeight="1" x14ac:dyDescent="0.2">
      <c r="A30" s="113" t="s">
        <v>10</v>
      </c>
      <c r="B30" s="113"/>
      <c r="C30" s="31"/>
      <c r="D30" s="25"/>
      <c r="E30" s="28" t="s">
        <v>106</v>
      </c>
      <c r="F30" s="28"/>
      <c r="G30" s="25"/>
      <c r="H30" s="19"/>
      <c r="I30" s="19"/>
      <c r="J30" s="19"/>
    </row>
    <row r="31" spans="1:17" ht="20.100000000000001" customHeight="1" x14ac:dyDescent="0.2">
      <c r="A31" s="19"/>
      <c r="B31" s="19"/>
      <c r="C31" s="19"/>
      <c r="D31" s="19"/>
      <c r="E31" s="19"/>
      <c r="F31" s="19"/>
      <c r="G31" s="19"/>
      <c r="H31" s="19"/>
      <c r="I31" s="19"/>
      <c r="J31" s="19"/>
    </row>
    <row r="32" spans="1:17" ht="20.100000000000001" customHeight="1" x14ac:dyDescent="0.2">
      <c r="A32" s="19" t="s">
        <v>96</v>
      </c>
      <c r="B32" s="19"/>
      <c r="C32" s="19"/>
      <c r="D32" s="19"/>
      <c r="E32" s="22" t="s">
        <v>140</v>
      </c>
      <c r="F32" s="22"/>
      <c r="G32" s="19"/>
      <c r="H32" s="19"/>
      <c r="I32" s="19"/>
      <c r="J32" s="19"/>
    </row>
    <row r="33" spans="1:10" ht="20.100000000000001" customHeight="1" x14ac:dyDescent="0.2">
      <c r="A33" s="19" t="s">
        <v>13</v>
      </c>
      <c r="B33" s="19"/>
      <c r="C33" s="19"/>
      <c r="D33" s="19"/>
      <c r="E33" s="22"/>
      <c r="F33" s="22"/>
      <c r="G33" s="19"/>
      <c r="H33" s="19"/>
      <c r="I33" s="19"/>
      <c r="J33" s="19"/>
    </row>
    <row r="34" spans="1:10" ht="20.100000000000001" customHeight="1" x14ac:dyDescent="0.2">
      <c r="A34" s="19" t="s">
        <v>6</v>
      </c>
      <c r="B34" s="19"/>
      <c r="C34" s="19"/>
      <c r="D34" s="19"/>
      <c r="E34" s="26" t="s">
        <v>124</v>
      </c>
      <c r="F34" s="26"/>
      <c r="G34" s="19"/>
      <c r="H34" s="19"/>
      <c r="I34" s="19"/>
      <c r="J34" s="19"/>
    </row>
    <row r="35" spans="1:10" ht="20.100000000000001" customHeight="1" x14ac:dyDescent="0.2">
      <c r="A35" s="19"/>
      <c r="B35" s="19"/>
      <c r="C35" s="19"/>
      <c r="D35" s="19"/>
      <c r="E35" s="19"/>
      <c r="F35" s="19"/>
      <c r="G35" s="19"/>
      <c r="H35" s="19"/>
      <c r="I35" s="19"/>
      <c r="J35" s="19"/>
    </row>
    <row r="36" spans="1:10" ht="20.100000000000001" customHeight="1" x14ac:dyDescent="0.2">
      <c r="A36" s="19" t="s">
        <v>17</v>
      </c>
      <c r="B36" s="19"/>
      <c r="C36" s="19"/>
      <c r="D36" s="19"/>
      <c r="E36" s="22" t="s">
        <v>107</v>
      </c>
      <c r="F36" s="22"/>
      <c r="G36" s="19"/>
      <c r="H36" s="19"/>
      <c r="I36" s="19"/>
      <c r="J36" s="19"/>
    </row>
    <row r="37" spans="1:10" ht="20.100000000000001" customHeight="1" x14ac:dyDescent="0.2">
      <c r="A37" s="19" t="s">
        <v>13</v>
      </c>
      <c r="B37" s="19"/>
      <c r="C37" s="19"/>
      <c r="D37" s="19"/>
      <c r="E37" s="26"/>
      <c r="F37" s="26"/>
      <c r="G37" s="19"/>
      <c r="H37" s="19"/>
      <c r="I37" s="19"/>
      <c r="J37" s="19"/>
    </row>
    <row r="38" spans="1:10" ht="20.100000000000001" customHeight="1" x14ac:dyDescent="0.2">
      <c r="A38" s="19" t="s">
        <v>6</v>
      </c>
      <c r="B38" s="19"/>
      <c r="C38" s="19"/>
      <c r="D38" s="19"/>
      <c r="E38" s="26" t="s">
        <v>125</v>
      </c>
      <c r="F38" s="26"/>
      <c r="G38" s="19"/>
      <c r="H38" s="19"/>
      <c r="I38" s="19"/>
      <c r="J38" s="19"/>
    </row>
    <row r="39" spans="1:10" ht="14.25" x14ac:dyDescent="0.2">
      <c r="A39" s="19"/>
      <c r="B39" s="19"/>
      <c r="C39" s="19"/>
      <c r="D39" s="19"/>
      <c r="E39" s="19"/>
      <c r="F39" s="19"/>
      <c r="G39" s="19"/>
      <c r="H39" s="19"/>
      <c r="I39" s="19"/>
      <c r="J39" s="19"/>
    </row>
    <row r="40" spans="1:10" ht="14.25" x14ac:dyDescent="0.2">
      <c r="A40" s="19"/>
      <c r="B40" s="19"/>
      <c r="C40" s="19"/>
      <c r="D40" s="19"/>
      <c r="E40" s="19"/>
      <c r="F40" s="19"/>
      <c r="G40" s="19"/>
      <c r="H40" s="19"/>
      <c r="I40" s="19"/>
      <c r="J40" s="19"/>
    </row>
    <row r="41" spans="1:10" ht="14.25" x14ac:dyDescent="0.2">
      <c r="B41" s="19"/>
      <c r="C41" s="19"/>
      <c r="D41" s="19"/>
      <c r="E41" s="19"/>
      <c r="F41" s="19"/>
      <c r="G41" s="19"/>
      <c r="H41" s="19"/>
      <c r="I41" s="19"/>
      <c r="J41" s="19"/>
    </row>
    <row r="42" spans="1:10" ht="14.25" x14ac:dyDescent="0.2">
      <c r="A42" s="23"/>
      <c r="B42" s="23"/>
      <c r="C42" s="23"/>
      <c r="D42" s="19"/>
      <c r="E42" s="19"/>
      <c r="F42" s="19"/>
      <c r="G42" s="19"/>
      <c r="H42" s="19"/>
      <c r="I42" s="19"/>
      <c r="J42" s="19"/>
    </row>
    <row r="43" spans="1:10" ht="14.25" x14ac:dyDescent="0.2">
      <c r="A43" s="19"/>
      <c r="B43" s="19"/>
      <c r="C43" s="19"/>
      <c r="D43" s="19"/>
      <c r="E43" s="19"/>
      <c r="F43" s="19"/>
      <c r="G43" s="19"/>
      <c r="H43" s="19"/>
      <c r="I43" s="19"/>
      <c r="J43" s="19"/>
    </row>
    <row r="44" spans="1:10" ht="14.25" x14ac:dyDescent="0.2">
      <c r="A44" s="19"/>
      <c r="B44" s="19"/>
      <c r="C44" s="19"/>
      <c r="D44" s="19"/>
      <c r="E44" s="19"/>
      <c r="F44" s="19"/>
      <c r="G44" s="19"/>
      <c r="H44" s="19"/>
      <c r="I44" s="19"/>
      <c r="J44" s="19"/>
    </row>
  </sheetData>
  <customSheetViews>
    <customSheetView guid="{429F8305-68BB-4ABC-90C3-15F066891119}" scale="85" showPageBreaks="1" fitToPage="1" printArea="1" topLeftCell="A13">
      <selection activeCell="J18" sqref="J18"/>
      <pageMargins left="0.59055118110236227" right="0.59055118110236227" top="0.39370078740157483" bottom="0.39370078740157483" header="0.39370078740157483" footer="0.39370078740157483"/>
      <printOptions horizontalCentered="1" verticalCentered="1"/>
      <pageSetup paperSize="9" scale="65" orientation="landscape" r:id="rId1"/>
      <headerFooter alignWithMargins="0">
        <oddFooter>&amp;RNRF/14 December 2011</oddFooter>
      </headerFooter>
    </customSheetView>
    <customSheetView guid="{8308D2E1-AB86-4CA4-BE3B-ED4FFBF05815}" scale="85" showPageBreaks="1" fitToPage="1" printArea="1">
      <selection activeCell="E1" sqref="E1"/>
      <pageMargins left="0.59055118110236227" right="0.59055118110236227" top="0.39370078740157483" bottom="0.39370078740157483" header="0.39370078740157483" footer="0.39370078740157483"/>
      <printOptions horizontalCentered="1" verticalCentered="1"/>
      <pageSetup paperSize="9" scale="68" orientation="landscape" r:id="rId2"/>
      <headerFooter alignWithMargins="0">
        <oddFooter>&amp;RNRF/14 December 2011</oddFooter>
      </headerFooter>
    </customSheetView>
    <customSheetView guid="{92A3E7EB-B758-49DF-97DF-5A8D46E78E41}" scale="90" showPageBreaks="1" fitToPage="1" printArea="1" view="pageBreakPreview">
      <pageMargins left="0.59055118110236227" right="0.59055118110236227" top="0.39370078740157483" bottom="0.39370078740157483" header="0.39370078740157483" footer="0.39370078740157483"/>
      <printOptions horizontalCentered="1" verticalCentered="1"/>
      <pageSetup paperSize="9" scale="68" orientation="landscape" r:id="rId3"/>
      <headerFooter alignWithMargins="0">
        <oddFooter>&amp;RNRF/14 December 2011</oddFooter>
      </headerFooter>
    </customSheetView>
    <customSheetView guid="{2D0FF612-2C81-4DE3-A53A-2E50C9075D5D}" scale="90" showPageBreaks="1" fitToPage="1" printArea="1" view="pageBreakPreview">
      <selection activeCell="G31" sqref="G31"/>
      <pageMargins left="0.59055118110236227" right="0.59055118110236227" top="0.39370078740157483" bottom="0.39370078740157483" header="0.39370078740157483" footer="0.39370078740157483"/>
      <printOptions horizontalCentered="1" verticalCentered="1"/>
      <pageSetup paperSize="9" scale="69" orientation="landscape" r:id="rId4"/>
      <headerFooter alignWithMargins="0">
        <oddFooter>&amp;RNRF/14 December 2011</oddFooter>
      </headerFooter>
    </customSheetView>
    <customSheetView guid="{5401927F-BD7B-4D49-AE97-64368FC18A60}" scale="90" showPageBreaks="1" fitToPage="1" printArea="1" view="pageBreakPreview">
      <selection activeCell="G31" sqref="G31"/>
      <pageMargins left="0.59055118110236227" right="0.59055118110236227" top="0.39370078740157483" bottom="0.39370078740157483" header="0.39370078740157483" footer="0.39370078740157483"/>
      <printOptions horizontalCentered="1" verticalCentered="1"/>
      <pageSetup paperSize="9" scale="68" orientation="landscape" r:id="rId5"/>
      <headerFooter alignWithMargins="0">
        <oddFooter>&amp;RNRF/14 December 2011</oddFooter>
      </headerFooter>
    </customSheetView>
    <customSheetView guid="{2C6533C7-057C-4A7C-ABD2-7930463500B1}" scale="85" showPageBreaks="1" fitToPage="1" printArea="1">
      <selection activeCell="J12" sqref="J12"/>
      <pageMargins left="0.59055118110236227" right="0.59055118110236227" top="0.39370078740157483" bottom="0.39370078740157483" header="0.39370078740157483" footer="0.39370078740157483"/>
      <printOptions horizontalCentered="1" verticalCentered="1"/>
      <pageSetup paperSize="9" scale="68" orientation="landscape" r:id="rId6"/>
      <headerFooter alignWithMargins="0">
        <oddFooter>&amp;RNRF/14 December 2011</oddFooter>
      </headerFooter>
    </customSheetView>
    <customSheetView guid="{F44AC75F-827A-46B7-974C-E8545DF2AEDE}" scale="85" fitToPage="1" printArea="1">
      <selection activeCell="E16" sqref="E16"/>
      <pageMargins left="0.59055118110236227" right="0.59055118110236227" top="0.39370078740157483" bottom="0.39370078740157483" header="0.39370078740157483" footer="0.39370078740157483"/>
      <printOptions horizontalCentered="1" verticalCentered="1"/>
      <pageSetup paperSize="9" scale="68" orientation="landscape" r:id="rId7"/>
      <headerFooter alignWithMargins="0">
        <oddFooter>&amp;RNRF/14 December 2011</oddFooter>
      </headerFooter>
    </customSheetView>
  </customSheetViews>
  <mergeCells count="3">
    <mergeCell ref="A28:B28"/>
    <mergeCell ref="A29:B29"/>
    <mergeCell ref="A30:B30"/>
  </mergeCells>
  <printOptions horizontalCentered="1" verticalCentered="1"/>
  <pageMargins left="0.59055118110236227" right="0.59055118110236227" top="0.39370078740157483" bottom="0.39370078740157483" header="0.39370078740157483" footer="0.39370078740157483"/>
  <pageSetup paperSize="9" scale="64" orientation="landscape" r:id="rId8"/>
  <headerFooter alignWithMargins="0">
    <oddFooter>&amp;RNRF/14 December 2011</oddFooter>
  </headerFooter>
  <legacyDrawing r:id="rId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20"/>
  <sheetViews>
    <sheetView topLeftCell="A8" zoomScale="85" zoomScaleNormal="85" workbookViewId="0">
      <selection activeCell="G15" sqref="G15"/>
    </sheetView>
  </sheetViews>
  <sheetFormatPr defaultColWidth="8.85546875" defaultRowHeight="12.75" x14ac:dyDescent="0.2"/>
  <cols>
    <col min="1" max="1" width="8.85546875" style="77"/>
    <col min="2" max="2" width="43.42578125" style="77" customWidth="1"/>
    <col min="3" max="3" width="35.85546875" style="77" customWidth="1"/>
    <col min="4" max="4" width="31.85546875" style="77" customWidth="1"/>
    <col min="5" max="5" width="21.42578125" style="77" customWidth="1"/>
    <col min="6" max="6" width="17.7109375" style="77" customWidth="1"/>
    <col min="7" max="7" width="25.85546875" style="77" customWidth="1"/>
    <col min="8" max="8" width="16.85546875" style="77" customWidth="1"/>
    <col min="9" max="16384" width="8.85546875" style="77"/>
  </cols>
  <sheetData>
    <row r="1" spans="1:14" ht="15.75" x14ac:dyDescent="0.25">
      <c r="A1" s="78" t="s">
        <v>101</v>
      </c>
      <c r="B1" s="79"/>
      <c r="C1" s="79"/>
      <c r="D1" s="79"/>
      <c r="E1" s="79"/>
      <c r="F1" s="79"/>
      <c r="G1" s="79"/>
      <c r="H1" s="79"/>
      <c r="I1" s="79"/>
      <c r="J1" s="79"/>
      <c r="K1" s="79"/>
      <c r="L1" s="79"/>
      <c r="M1" s="79"/>
      <c r="N1" s="79"/>
    </row>
    <row r="3" spans="1:14" ht="15.75" x14ac:dyDescent="0.25">
      <c r="A3" s="80" t="s">
        <v>23</v>
      </c>
      <c r="B3" s="81"/>
      <c r="C3" s="82" t="s">
        <v>116</v>
      </c>
      <c r="D3" s="82"/>
      <c r="E3" s="80"/>
      <c r="F3" s="81"/>
      <c r="G3" s="79"/>
      <c r="H3" s="79"/>
      <c r="I3" s="79"/>
      <c r="J3" s="79"/>
      <c r="K3" s="79"/>
      <c r="L3" s="79"/>
      <c r="M3" s="79"/>
      <c r="N3" s="79"/>
    </row>
    <row r="4" spans="1:14" ht="15.75" x14ac:dyDescent="0.25">
      <c r="A4" s="78"/>
      <c r="B4" s="81"/>
      <c r="C4" s="81"/>
      <c r="D4" s="81"/>
      <c r="E4" s="81"/>
      <c r="F4" s="81"/>
      <c r="G4" s="81"/>
      <c r="H4" s="81"/>
      <c r="I4" s="79"/>
      <c r="J4" s="79"/>
      <c r="K4" s="79"/>
      <c r="L4" s="79"/>
      <c r="M4" s="79"/>
      <c r="N4" s="79"/>
    </row>
    <row r="5" spans="1:14" ht="15" x14ac:dyDescent="0.25">
      <c r="A5" s="83" t="s">
        <v>98</v>
      </c>
      <c r="B5" s="81"/>
      <c r="C5" s="82" t="s">
        <v>118</v>
      </c>
      <c r="D5" s="82"/>
      <c r="E5" s="82"/>
      <c r="F5" s="82"/>
      <c r="G5" s="81"/>
      <c r="H5" s="81"/>
      <c r="I5" s="79"/>
      <c r="J5" s="79"/>
      <c r="K5" s="79"/>
      <c r="L5" s="79"/>
      <c r="M5" s="79"/>
      <c r="N5" s="79"/>
    </row>
    <row r="6" spans="1:14" ht="15" x14ac:dyDescent="0.25">
      <c r="A6" s="83" t="s">
        <v>15</v>
      </c>
      <c r="B6" s="81"/>
      <c r="C6" s="84" t="s">
        <v>120</v>
      </c>
      <c r="D6" s="84"/>
      <c r="E6" s="84"/>
      <c r="F6" s="84"/>
      <c r="G6" s="81"/>
      <c r="H6" s="81"/>
      <c r="I6" s="79"/>
      <c r="J6" s="79"/>
      <c r="K6" s="79"/>
      <c r="L6" s="79"/>
      <c r="M6" s="79"/>
      <c r="N6" s="79"/>
    </row>
    <row r="7" spans="1:14" ht="15.75" x14ac:dyDescent="0.25">
      <c r="A7" s="85"/>
      <c r="B7" s="81"/>
      <c r="C7" s="81"/>
      <c r="D7" s="81"/>
      <c r="E7" s="81"/>
      <c r="F7" s="81"/>
      <c r="G7" s="81"/>
      <c r="H7" s="81"/>
      <c r="I7" s="79"/>
      <c r="J7" s="79"/>
      <c r="K7" s="79"/>
      <c r="L7" s="79"/>
      <c r="M7" s="79"/>
      <c r="N7" s="79"/>
    </row>
    <row r="8" spans="1:14" ht="15.75" x14ac:dyDescent="0.2">
      <c r="A8" s="116" t="s">
        <v>24</v>
      </c>
      <c r="B8" s="116"/>
      <c r="C8" s="116"/>
      <c r="D8" s="116"/>
      <c r="E8" s="116"/>
      <c r="F8" s="116"/>
      <c r="G8" s="116"/>
      <c r="H8" s="86"/>
      <c r="I8" s="86"/>
      <c r="J8" s="86"/>
      <c r="K8" s="86"/>
      <c r="L8" s="86"/>
      <c r="M8" s="86"/>
      <c r="N8" s="86"/>
    </row>
    <row r="9" spans="1:14" ht="15" x14ac:dyDescent="0.25">
      <c r="A9" s="87"/>
      <c r="B9" s="79"/>
      <c r="C9" s="79"/>
      <c r="D9" s="79"/>
      <c r="E9" s="79"/>
      <c r="F9" s="79"/>
      <c r="G9" s="79"/>
      <c r="H9" s="79"/>
      <c r="I9" s="79"/>
      <c r="J9" s="79"/>
      <c r="K9" s="79"/>
      <c r="L9" s="79"/>
      <c r="M9" s="79"/>
      <c r="N9" s="79"/>
    </row>
    <row r="10" spans="1:14" ht="63" x14ac:dyDescent="0.2">
      <c r="A10" s="88" t="s">
        <v>25</v>
      </c>
      <c r="B10" s="89" t="s">
        <v>26</v>
      </c>
      <c r="C10" s="89" t="s">
        <v>27</v>
      </c>
      <c r="D10" s="89" t="s">
        <v>28</v>
      </c>
      <c r="E10" s="89" t="s">
        <v>29</v>
      </c>
      <c r="F10" s="89" t="s">
        <v>30</v>
      </c>
      <c r="G10" s="89" t="s">
        <v>31</v>
      </c>
      <c r="H10" s="89" t="s">
        <v>32</v>
      </c>
      <c r="I10" s="80"/>
      <c r="J10" s="80"/>
      <c r="K10" s="80"/>
      <c r="L10" s="80"/>
      <c r="M10" s="80"/>
      <c r="N10" s="80"/>
    </row>
    <row r="11" spans="1:14" ht="15.75" x14ac:dyDescent="0.25">
      <c r="A11" s="117" t="s">
        <v>33</v>
      </c>
      <c r="B11" s="117"/>
      <c r="C11" s="117"/>
      <c r="D11" s="117"/>
      <c r="E11" s="117"/>
      <c r="F11" s="117"/>
      <c r="G11" s="117"/>
      <c r="H11" s="117"/>
      <c r="I11" s="79"/>
      <c r="J11" s="79"/>
      <c r="K11" s="79"/>
      <c r="L11" s="79"/>
      <c r="M11" s="79"/>
      <c r="N11" s="79"/>
    </row>
    <row r="12" spans="1:14" ht="15" x14ac:dyDescent="0.25">
      <c r="A12" s="90" t="s">
        <v>122</v>
      </c>
      <c r="B12" s="100" t="s">
        <v>133</v>
      </c>
      <c r="C12" s="100" t="s">
        <v>134</v>
      </c>
      <c r="D12" s="100" t="s">
        <v>120</v>
      </c>
      <c r="E12" s="101" t="s">
        <v>135</v>
      </c>
      <c r="F12" s="101" t="s">
        <v>136</v>
      </c>
      <c r="G12" s="100" t="s">
        <v>137</v>
      </c>
      <c r="H12" s="100" t="s">
        <v>138</v>
      </c>
      <c r="I12" s="79"/>
      <c r="J12" s="79"/>
      <c r="K12" s="79"/>
      <c r="L12" s="79"/>
      <c r="M12" s="79"/>
      <c r="N12" s="79"/>
    </row>
    <row r="13" spans="1:14" ht="15" x14ac:dyDescent="0.25">
      <c r="A13" s="90"/>
      <c r="B13" s="90"/>
      <c r="C13" s="90"/>
      <c r="D13" s="90"/>
      <c r="E13" s="90"/>
      <c r="F13" s="90"/>
      <c r="G13" s="90"/>
      <c r="H13" s="90"/>
      <c r="I13" s="79"/>
      <c r="J13" s="79"/>
      <c r="K13" s="79"/>
      <c r="L13" s="79"/>
      <c r="M13" s="79"/>
      <c r="N13" s="79"/>
    </row>
    <row r="14" spans="1:14" ht="15.75" x14ac:dyDescent="0.2">
      <c r="A14" s="117" t="s">
        <v>34</v>
      </c>
      <c r="B14" s="117"/>
      <c r="C14" s="117"/>
      <c r="D14" s="117"/>
      <c r="E14" s="117"/>
      <c r="F14" s="117"/>
      <c r="G14" s="117"/>
      <c r="H14" s="117"/>
    </row>
    <row r="15" spans="1:14" ht="15" x14ac:dyDescent="0.2">
      <c r="A15" s="90" t="s">
        <v>122</v>
      </c>
      <c r="B15" s="100" t="s">
        <v>133</v>
      </c>
      <c r="C15" s="100" t="s">
        <v>134</v>
      </c>
      <c r="D15" s="100" t="s">
        <v>120</v>
      </c>
      <c r="E15" s="101" t="s">
        <v>135</v>
      </c>
      <c r="F15" s="101" t="s">
        <v>136</v>
      </c>
      <c r="G15" s="100" t="s">
        <v>137</v>
      </c>
      <c r="H15" s="100" t="s">
        <v>138</v>
      </c>
    </row>
    <row r="16" spans="1:14" ht="15" x14ac:dyDescent="0.2">
      <c r="A16" s="90"/>
      <c r="B16" s="90"/>
      <c r="C16" s="90"/>
      <c r="D16" s="90"/>
      <c r="E16" s="90"/>
      <c r="F16" s="90"/>
      <c r="G16" s="90"/>
      <c r="H16" s="90"/>
    </row>
    <row r="18" spans="1:8" ht="15.75" x14ac:dyDescent="0.25">
      <c r="A18" s="91" t="s">
        <v>35</v>
      </c>
      <c r="B18" s="92"/>
      <c r="C18" s="92"/>
      <c r="D18" s="96"/>
      <c r="E18" s="95" t="s">
        <v>123</v>
      </c>
      <c r="F18" s="79"/>
      <c r="G18" s="79"/>
      <c r="H18" s="79"/>
    </row>
    <row r="19" spans="1:8" ht="15.75" x14ac:dyDescent="0.25">
      <c r="A19" s="114" t="s">
        <v>36</v>
      </c>
      <c r="B19" s="115"/>
      <c r="C19" s="93" t="s">
        <v>37</v>
      </c>
      <c r="D19" s="93" t="s">
        <v>38</v>
      </c>
      <c r="F19" s="79"/>
      <c r="G19" s="79"/>
      <c r="H19" s="79"/>
    </row>
    <row r="20" spans="1:8" ht="15" x14ac:dyDescent="0.25">
      <c r="A20" s="118" t="s">
        <v>128</v>
      </c>
      <c r="B20" s="119"/>
      <c r="C20" s="94" t="s">
        <v>129</v>
      </c>
      <c r="D20" s="94">
        <f>COUNTIF(C12:C13, A20)</f>
        <v>0</v>
      </c>
      <c r="F20" s="79"/>
      <c r="G20" s="79"/>
      <c r="H20" s="79"/>
    </row>
  </sheetData>
  <customSheetViews>
    <customSheetView guid="{429F8305-68BB-4ABC-90C3-15F066891119}" scale="85" showPageBreaks="1" fitToPage="1" printArea="1">
      <selection activeCell="F22" sqref="F22"/>
      <pageMargins left="0.7" right="0.7" top="0.75" bottom="0.75" header="0.3" footer="0.3"/>
      <pageSetup paperSize="9" scale="66" orientation="landscape" r:id="rId1"/>
    </customSheetView>
    <customSheetView guid="{8308D2E1-AB86-4CA4-BE3B-ED4FFBF05815}" scale="85" showPageBreaks="1" fitToPage="1" printArea="1">
      <selection activeCell="E1" sqref="E1"/>
      <pageMargins left="0.7" right="0.7" top="0.75" bottom="0.75" header="0.3" footer="0.3"/>
      <pageSetup paperSize="9" scale="66" orientation="landscape" r:id="rId2"/>
    </customSheetView>
    <customSheetView guid="{92A3E7EB-B758-49DF-97DF-5A8D46E78E41}" scale="70" showPageBreaks="1" fitToPage="1" printArea="1">
      <pageMargins left="0.7" right="0.7" top="0.75" bottom="0.75" header="0.3" footer="0.3"/>
      <pageSetup paperSize="9" scale="66" orientation="landscape" r:id="rId3"/>
    </customSheetView>
    <customSheetView guid="{2D0FF612-2C81-4DE3-A53A-2E50C9075D5D}" scale="70" showPageBreaks="1">
      <selection activeCell="O10" sqref="O10"/>
      <pageMargins left="0.7" right="0.7" top="0.75" bottom="0.75" header="0.3" footer="0.3"/>
      <pageSetup paperSize="9" orientation="portrait" r:id="rId4"/>
    </customSheetView>
    <customSheetView guid="{5401927F-BD7B-4D49-AE97-64368FC18A60}" scale="70" showPageBreaks="1" fitToPage="1" printArea="1">
      <selection sqref="A1:H30"/>
      <pageMargins left="0.7" right="0.7" top="0.75" bottom="0.75" header="0.3" footer="0.3"/>
      <pageSetup paperSize="9" scale="66" orientation="landscape" r:id="rId5"/>
    </customSheetView>
    <customSheetView guid="{2C6533C7-057C-4A7C-ABD2-7930463500B1}" scale="85" showPageBreaks="1" fitToPage="1" printArea="1">
      <selection activeCell="E4" sqref="E4"/>
      <pageMargins left="0.7" right="0.7" top="0.75" bottom="0.75" header="0.3" footer="0.3"/>
      <pageSetup paperSize="9" scale="66" orientation="landscape" r:id="rId6"/>
    </customSheetView>
    <customSheetView guid="{F44AC75F-827A-46B7-974C-E8545DF2AEDE}" scale="85" fitToPage="1">
      <selection activeCell="E1" sqref="E1"/>
      <pageMargins left="0.7" right="0.7" top="0.75" bottom="0.75" header="0.3" footer="0.3"/>
      <pageSetup paperSize="9" scale="66" orientation="landscape" r:id="rId7"/>
    </customSheetView>
  </customSheetViews>
  <mergeCells count="5">
    <mergeCell ref="A19:B19"/>
    <mergeCell ref="A8:G8"/>
    <mergeCell ref="A11:H11"/>
    <mergeCell ref="A14:H14"/>
    <mergeCell ref="A20:B20"/>
  </mergeCells>
  <conditionalFormatting sqref="C19:D20">
    <cfRule type="containsBlanks" dxfId="0" priority="1">
      <formula>LEN(TRIM(C19))=0</formula>
    </cfRule>
  </conditionalFormatting>
  <pageMargins left="0.7" right="0.7" top="0.75" bottom="0.75" header="0.3" footer="0.3"/>
  <pageSetup paperSize="9" scale="66" orientation="landscape" r:id="rId8"/>
  <legacy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DF224-BC67-4FED-BD56-869C7571FD10}">
  <dimension ref="A1"/>
  <sheetViews>
    <sheetView workbookViewId="0">
      <selection sqref="A1:XFD1048576"/>
    </sheetView>
  </sheetViews>
  <sheetFormatPr defaultRowHeight="12.75" x14ac:dyDescent="0.2"/>
  <sheetData/>
  <customSheetViews>
    <customSheetView guid="{429F8305-68BB-4ABC-90C3-15F066891119}" state="hidden">
      <selection sqref="A1:XFD1048576"/>
      <pageMargins left="0.7" right="0.7" top="0.75" bottom="0.75" header="0.3" footer="0.3"/>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58"/>
  <sheetViews>
    <sheetView zoomScale="85" zoomScaleNormal="85" workbookViewId="0">
      <selection activeCell="D1" sqref="D1"/>
    </sheetView>
  </sheetViews>
  <sheetFormatPr defaultRowHeight="12.75" x14ac:dyDescent="0.2"/>
  <cols>
    <col min="1" max="1" width="30.7109375" customWidth="1"/>
    <col min="2" max="2" width="29" customWidth="1"/>
    <col min="3" max="3" width="23.85546875" customWidth="1"/>
    <col min="4" max="4" width="29.28515625" customWidth="1"/>
    <col min="5" max="5" width="26.28515625" customWidth="1"/>
  </cols>
  <sheetData>
    <row r="1" spans="1:14" ht="15.75" x14ac:dyDescent="0.2">
      <c r="A1" s="40" t="s">
        <v>99</v>
      </c>
      <c r="B1" s="42"/>
      <c r="C1" s="42"/>
      <c r="D1" s="42"/>
      <c r="E1" s="42"/>
      <c r="F1" s="42"/>
    </row>
    <row r="2" spans="1:14" ht="15.75" x14ac:dyDescent="0.2">
      <c r="A2" s="40"/>
      <c r="B2" s="42"/>
      <c r="C2" s="42"/>
      <c r="D2" s="42"/>
      <c r="E2" s="42"/>
      <c r="F2" s="42"/>
    </row>
    <row r="3" spans="1:14" ht="15" x14ac:dyDescent="0.25">
      <c r="A3" s="24" t="s">
        <v>98</v>
      </c>
      <c r="B3" s="42"/>
      <c r="C3" s="41"/>
      <c r="D3" s="41"/>
      <c r="E3" s="41"/>
      <c r="F3" s="42"/>
      <c r="G3" s="42"/>
      <c r="H3" s="42"/>
      <c r="I3" s="35"/>
      <c r="J3" s="35"/>
      <c r="K3" s="35"/>
      <c r="L3" s="35"/>
      <c r="M3" s="35"/>
      <c r="N3" s="35"/>
    </row>
    <row r="4" spans="1:14" ht="15" x14ac:dyDescent="0.25">
      <c r="A4" s="24" t="s">
        <v>15</v>
      </c>
      <c r="B4" s="42"/>
      <c r="C4" s="43"/>
      <c r="D4" s="43"/>
      <c r="E4" s="43"/>
      <c r="F4" s="42"/>
      <c r="G4" s="42"/>
      <c r="H4" s="42"/>
      <c r="I4" s="35"/>
      <c r="J4" s="35"/>
      <c r="K4" s="35"/>
      <c r="L4" s="35"/>
      <c r="M4" s="35"/>
      <c r="N4" s="35"/>
    </row>
    <row r="5" spans="1:14" ht="15.75" x14ac:dyDescent="0.2">
      <c r="A5" s="37" t="s">
        <v>64</v>
      </c>
      <c r="B5" s="37"/>
      <c r="C5" s="43"/>
      <c r="D5" s="43"/>
      <c r="E5" s="43"/>
      <c r="F5" s="42"/>
    </row>
    <row r="6" spans="1:14" ht="15.75" x14ac:dyDescent="0.2">
      <c r="A6" s="37" t="s">
        <v>65</v>
      </c>
      <c r="B6" s="37"/>
      <c r="C6" s="43"/>
      <c r="D6" s="43"/>
      <c r="E6" s="43"/>
      <c r="F6" s="42"/>
    </row>
    <row r="7" spans="1:14" ht="15.75" x14ac:dyDescent="0.2">
      <c r="A7" s="37" t="s">
        <v>70</v>
      </c>
      <c r="B7" s="37"/>
      <c r="C7" s="43"/>
      <c r="D7" s="43"/>
      <c r="E7" s="43"/>
      <c r="F7" s="42"/>
    </row>
    <row r="8" spans="1:14" ht="15.75" x14ac:dyDescent="0.2">
      <c r="A8" s="39"/>
      <c r="B8" s="42"/>
      <c r="C8" s="42"/>
      <c r="D8" s="42"/>
      <c r="E8" s="42"/>
      <c r="F8" s="42"/>
    </row>
    <row r="9" spans="1:14" ht="15.75" x14ac:dyDescent="0.2">
      <c r="A9" s="39" t="s">
        <v>39</v>
      </c>
      <c r="B9" s="42"/>
      <c r="C9" s="42"/>
      <c r="D9" s="42"/>
      <c r="E9" s="42"/>
      <c r="F9" s="42"/>
    </row>
    <row r="10" spans="1:14" ht="31.5" x14ac:dyDescent="0.25">
      <c r="A10" s="55" t="s">
        <v>87</v>
      </c>
      <c r="B10" s="55" t="s">
        <v>81</v>
      </c>
      <c r="C10" s="55" t="s">
        <v>40</v>
      </c>
      <c r="D10" s="56" t="s">
        <v>41</v>
      </c>
      <c r="E10" s="55" t="s">
        <v>42</v>
      </c>
      <c r="F10" s="35"/>
    </row>
    <row r="11" spans="1:14" ht="15" x14ac:dyDescent="0.25">
      <c r="A11" s="44" t="s">
        <v>79</v>
      </c>
      <c r="B11" s="45"/>
      <c r="C11" s="45"/>
      <c r="D11" s="45"/>
      <c r="E11" s="45"/>
      <c r="F11" s="35"/>
    </row>
    <row r="12" spans="1:14" ht="15" x14ac:dyDescent="0.25">
      <c r="A12" s="44" t="s">
        <v>80</v>
      </c>
      <c r="B12" s="45"/>
      <c r="C12" s="45"/>
      <c r="D12" s="45"/>
      <c r="E12" s="45"/>
      <c r="F12" s="35"/>
    </row>
    <row r="13" spans="1:14" ht="15" x14ac:dyDescent="0.25">
      <c r="A13" s="44" t="s">
        <v>84</v>
      </c>
      <c r="B13" s="45"/>
      <c r="C13" s="45"/>
      <c r="D13" s="45"/>
      <c r="E13" s="45"/>
      <c r="F13" s="35"/>
    </row>
    <row r="14" spans="1:14" ht="15" x14ac:dyDescent="0.25">
      <c r="A14" s="44" t="s">
        <v>58</v>
      </c>
      <c r="B14" s="45"/>
      <c r="C14" s="45"/>
      <c r="D14" s="45"/>
      <c r="E14" s="45"/>
      <c r="F14" s="35"/>
    </row>
    <row r="15" spans="1:14" ht="15.75" x14ac:dyDescent="0.25">
      <c r="A15" s="46" t="s">
        <v>43</v>
      </c>
      <c r="B15" s="45"/>
      <c r="C15" s="45"/>
      <c r="D15" s="45"/>
      <c r="E15" s="45"/>
    </row>
    <row r="16" spans="1:14" ht="16.5" thickBot="1" x14ac:dyDescent="0.3">
      <c r="A16" s="37"/>
      <c r="B16" s="35"/>
      <c r="C16" s="35"/>
      <c r="D16" s="35"/>
      <c r="E16" s="35"/>
    </row>
    <row r="17" spans="1:5" ht="15.75" x14ac:dyDescent="0.25">
      <c r="A17" s="49" t="s">
        <v>44</v>
      </c>
      <c r="B17" s="50"/>
      <c r="C17" s="50"/>
      <c r="D17" s="51"/>
      <c r="E17" s="35"/>
    </row>
    <row r="18" spans="1:5" ht="15" x14ac:dyDescent="0.25">
      <c r="A18" s="129" t="s">
        <v>45</v>
      </c>
      <c r="B18" s="130"/>
      <c r="C18" s="130"/>
      <c r="D18" s="131"/>
      <c r="E18" s="35"/>
    </row>
    <row r="19" spans="1:5" ht="61.5" customHeight="1" thickBot="1" x14ac:dyDescent="0.3">
      <c r="A19" s="132"/>
      <c r="B19" s="133"/>
      <c r="C19" s="133"/>
      <c r="D19" s="134"/>
      <c r="E19" s="35"/>
    </row>
    <row r="20" spans="1:5" ht="15" x14ac:dyDescent="0.25">
      <c r="A20" s="54"/>
      <c r="B20" s="54"/>
      <c r="C20" s="54"/>
      <c r="D20" s="54"/>
      <c r="E20" s="35"/>
    </row>
    <row r="21" spans="1:5" ht="15.75" x14ac:dyDescent="0.25">
      <c r="A21" s="52" t="s">
        <v>46</v>
      </c>
      <c r="B21" s="35"/>
      <c r="C21" s="35"/>
      <c r="D21" s="35"/>
      <c r="E21" s="35"/>
    </row>
    <row r="22" spans="1:5" ht="15.75" x14ac:dyDescent="0.25">
      <c r="A22" s="46" t="s">
        <v>47</v>
      </c>
      <c r="B22" s="47" t="s">
        <v>48</v>
      </c>
      <c r="C22" s="47" t="s">
        <v>49</v>
      </c>
      <c r="D22" s="35"/>
      <c r="E22" s="35"/>
    </row>
    <row r="23" spans="1:5" ht="15" x14ac:dyDescent="0.25">
      <c r="A23" s="45"/>
      <c r="B23" s="45"/>
      <c r="C23" s="45"/>
      <c r="D23" s="35"/>
      <c r="E23" s="35"/>
    </row>
    <row r="24" spans="1:5" ht="15.75" x14ac:dyDescent="0.25">
      <c r="A24" s="37" t="s">
        <v>50</v>
      </c>
      <c r="B24" s="35"/>
      <c r="C24" s="35"/>
      <c r="D24" s="35"/>
      <c r="E24" s="35"/>
    </row>
    <row r="25" spans="1:5" ht="15" x14ac:dyDescent="0.25">
      <c r="A25" s="120"/>
      <c r="B25" s="121"/>
      <c r="C25" s="121"/>
      <c r="D25" s="122"/>
      <c r="E25" s="35"/>
    </row>
    <row r="26" spans="1:5" ht="15" x14ac:dyDescent="0.25">
      <c r="A26" s="123"/>
      <c r="B26" s="124"/>
      <c r="C26" s="124"/>
      <c r="D26" s="125"/>
      <c r="E26" s="35"/>
    </row>
    <row r="27" spans="1:5" ht="15" x14ac:dyDescent="0.25">
      <c r="A27" s="126"/>
      <c r="B27" s="127"/>
      <c r="C27" s="127"/>
      <c r="D27" s="128"/>
      <c r="E27" s="35"/>
    </row>
    <row r="28" spans="1:5" ht="15" x14ac:dyDescent="0.25">
      <c r="A28" s="48"/>
      <c r="B28" s="48"/>
      <c r="C28" s="48"/>
      <c r="D28" s="48"/>
      <c r="E28" s="35"/>
    </row>
    <row r="29" spans="1:5" ht="15" x14ac:dyDescent="0.25">
      <c r="A29" s="48"/>
      <c r="B29" s="48"/>
      <c r="C29" s="48"/>
      <c r="D29" s="48"/>
      <c r="E29" s="35"/>
    </row>
    <row r="30" spans="1:5" ht="15.75" x14ac:dyDescent="0.25">
      <c r="A30" s="53" t="s">
        <v>51</v>
      </c>
      <c r="B30" s="35"/>
      <c r="C30" s="35"/>
      <c r="D30" s="35"/>
      <c r="E30" s="35"/>
    </row>
    <row r="31" spans="1:5" ht="75.75" x14ac:dyDescent="0.25">
      <c r="A31" s="38" t="s">
        <v>52</v>
      </c>
      <c r="B31" s="73" t="s">
        <v>83</v>
      </c>
      <c r="C31" s="35"/>
      <c r="D31" s="35"/>
    </row>
    <row r="32" spans="1:5" ht="15.75" x14ac:dyDescent="0.25">
      <c r="A32" s="35"/>
      <c r="B32" s="38" t="s">
        <v>88</v>
      </c>
      <c r="C32" s="35"/>
      <c r="D32" s="35"/>
    </row>
    <row r="33" spans="1:4" ht="15.75" x14ac:dyDescent="0.25">
      <c r="A33" s="38" t="s">
        <v>53</v>
      </c>
      <c r="B33" s="38" t="s">
        <v>54</v>
      </c>
      <c r="C33" s="35"/>
      <c r="D33" s="35"/>
    </row>
    <row r="34" spans="1:4" ht="15.75" x14ac:dyDescent="0.25">
      <c r="A34" s="38"/>
      <c r="B34" s="38"/>
      <c r="C34" s="35"/>
      <c r="D34" s="35"/>
    </row>
    <row r="35" spans="1:4" ht="15.75" x14ac:dyDescent="0.25">
      <c r="A35" s="36" t="s">
        <v>55</v>
      </c>
      <c r="B35" s="35"/>
      <c r="C35" s="35"/>
      <c r="D35" s="35"/>
    </row>
    <row r="36" spans="1:4" x14ac:dyDescent="0.2">
      <c r="A36" s="120"/>
      <c r="B36" s="121"/>
      <c r="C36" s="121"/>
      <c r="D36" s="122"/>
    </row>
    <row r="37" spans="1:4" x14ac:dyDescent="0.2">
      <c r="A37" s="123"/>
      <c r="B37" s="124"/>
      <c r="C37" s="124"/>
      <c r="D37" s="125"/>
    </row>
    <row r="38" spans="1:4" x14ac:dyDescent="0.2">
      <c r="A38" s="126"/>
      <c r="B38" s="127"/>
      <c r="C38" s="127"/>
      <c r="D38" s="128"/>
    </row>
    <row r="40" spans="1:4" ht="15.75" x14ac:dyDescent="0.25">
      <c r="A40" s="36" t="s">
        <v>50</v>
      </c>
      <c r="B40" s="35"/>
      <c r="C40" s="35"/>
      <c r="D40" s="35"/>
    </row>
    <row r="41" spans="1:4" x14ac:dyDescent="0.2">
      <c r="A41" s="120"/>
      <c r="B41" s="121"/>
      <c r="C41" s="121"/>
      <c r="D41" s="122"/>
    </row>
    <row r="42" spans="1:4" x14ac:dyDescent="0.2">
      <c r="A42" s="123"/>
      <c r="B42" s="124"/>
      <c r="C42" s="124"/>
      <c r="D42" s="125"/>
    </row>
    <row r="43" spans="1:4" x14ac:dyDescent="0.2">
      <c r="A43" s="126"/>
      <c r="B43" s="127"/>
      <c r="C43" s="127"/>
      <c r="D43" s="128"/>
    </row>
    <row r="45" spans="1:4" ht="15.75" x14ac:dyDescent="0.25">
      <c r="A45" s="36" t="s">
        <v>56</v>
      </c>
      <c r="B45" s="35"/>
      <c r="C45" s="35"/>
      <c r="D45" s="35"/>
    </row>
    <row r="46" spans="1:4" ht="15.75" x14ac:dyDescent="0.25">
      <c r="A46" s="36" t="s">
        <v>100</v>
      </c>
      <c r="B46" s="35"/>
      <c r="C46" s="35"/>
      <c r="D46" s="35"/>
    </row>
    <row r="47" spans="1:4" ht="15.75" x14ac:dyDescent="0.25">
      <c r="A47" s="38" t="s">
        <v>57</v>
      </c>
      <c r="B47" s="35"/>
    </row>
    <row r="48" spans="1:4" ht="15.75" x14ac:dyDescent="0.25">
      <c r="A48" s="38"/>
      <c r="B48" s="35"/>
    </row>
    <row r="49" spans="1:4" s="58" customFormat="1" ht="15" x14ac:dyDescent="0.2">
      <c r="A49" s="58" t="s">
        <v>96</v>
      </c>
      <c r="C49" s="59"/>
      <c r="D49" s="59"/>
    </row>
    <row r="50" spans="1:4" s="58" customFormat="1" ht="15" x14ac:dyDescent="0.2">
      <c r="A50" s="58" t="s">
        <v>13</v>
      </c>
      <c r="C50" s="59"/>
      <c r="D50" s="59"/>
    </row>
    <row r="51" spans="1:4" s="58" customFormat="1" ht="15" x14ac:dyDescent="0.2">
      <c r="A51" s="58" t="s">
        <v>6</v>
      </c>
      <c r="C51" s="60"/>
      <c r="D51" s="60"/>
    </row>
    <row r="52" spans="1:4" ht="15" x14ac:dyDescent="0.2">
      <c r="A52" s="57"/>
      <c r="B52" s="57"/>
    </row>
    <row r="53" spans="1:4" ht="15" x14ac:dyDescent="0.2">
      <c r="A53" s="57" t="s">
        <v>85</v>
      </c>
      <c r="B53" s="57"/>
      <c r="C53" s="59"/>
      <c r="D53" s="59"/>
    </row>
    <row r="55" spans="1:4" ht="16.5" thickBot="1" x14ac:dyDescent="0.3">
      <c r="A55" s="36" t="s">
        <v>86</v>
      </c>
      <c r="B55" s="35"/>
      <c r="C55" s="35"/>
      <c r="D55" s="35"/>
    </row>
    <row r="56" spans="1:4" x14ac:dyDescent="0.2">
      <c r="A56" s="135" t="s">
        <v>82</v>
      </c>
      <c r="B56" s="136"/>
      <c r="C56" s="136"/>
      <c r="D56" s="137"/>
    </row>
    <row r="57" spans="1:4" x14ac:dyDescent="0.2">
      <c r="A57" s="138"/>
      <c r="B57" s="139"/>
      <c r="C57" s="139"/>
      <c r="D57" s="140"/>
    </row>
    <row r="58" spans="1:4" ht="13.5" thickBot="1" x14ac:dyDescent="0.25">
      <c r="A58" s="141"/>
      <c r="B58" s="142"/>
      <c r="C58" s="142"/>
      <c r="D58" s="143"/>
    </row>
  </sheetData>
  <customSheetViews>
    <customSheetView guid="{429F8305-68BB-4ABC-90C3-15F066891119}" scale="85" fitToPage="1" state="hidden">
      <selection activeCell="D1" sqref="D1"/>
      <pageMargins left="0.7" right="0.7" top="0.75" bottom="0.75" header="0.3" footer="0.3"/>
      <pageSetup scale="62" orientation="portrait" r:id="rId1"/>
    </customSheetView>
    <customSheetView guid="{8308D2E1-AB86-4CA4-BE3B-ED4FFBF05815}" scale="85" fitToPage="1">
      <selection activeCell="D1" sqref="D1"/>
      <pageMargins left="0.7" right="0.7" top="0.75" bottom="0.75" header="0.3" footer="0.3"/>
      <pageSetup scale="62" orientation="portrait" r:id="rId2"/>
    </customSheetView>
    <customSheetView guid="{92A3E7EB-B758-49DF-97DF-5A8D46E78E41}" fitToPage="1" topLeftCell="A25">
      <pageMargins left="0.7" right="0.7" top="0.75" bottom="0.75" header="0.3" footer="0.3"/>
      <pageSetup scale="62" orientation="portrait" r:id="rId3"/>
    </customSheetView>
    <customSheetView guid="{2D0FF612-2C81-4DE3-A53A-2E50C9075D5D}" showPageBreaks="1">
      <selection activeCell="E22" sqref="E22"/>
      <pageMargins left="0.7" right="0.7" top="0.75" bottom="0.75" header="0.3" footer="0.3"/>
      <pageSetup orientation="portrait" r:id="rId4"/>
    </customSheetView>
    <customSheetView guid="{5401927F-BD7B-4D49-AE97-64368FC18A60}" showPageBreaks="1" fitToPage="1" topLeftCell="A16">
      <selection activeCell="A10" sqref="A10"/>
      <pageMargins left="0.7" right="0.7" top="0.75" bottom="0.75" header="0.3" footer="0.3"/>
      <pageSetup scale="62" orientation="portrait" r:id="rId5"/>
    </customSheetView>
    <customSheetView guid="{2C6533C7-057C-4A7C-ABD2-7930463500B1}" scale="85" fitToPage="1">
      <selection activeCell="E38" sqref="E38"/>
      <pageMargins left="0.7" right="0.7" top="0.75" bottom="0.75" header="0.3" footer="0.3"/>
      <pageSetup scale="62" orientation="portrait" r:id="rId6"/>
    </customSheetView>
    <customSheetView guid="{F44AC75F-827A-46B7-974C-E8545DF2AEDE}" scale="85" fitToPage="1">
      <selection activeCell="D1" sqref="D1"/>
      <pageMargins left="0.7" right="0.7" top="0.75" bottom="0.75" header="0.3" footer="0.3"/>
      <pageSetup scale="62" orientation="portrait" r:id="rId7"/>
    </customSheetView>
  </customSheetViews>
  <mergeCells count="5">
    <mergeCell ref="A25:D27"/>
    <mergeCell ref="A36:D38"/>
    <mergeCell ref="A18:D19"/>
    <mergeCell ref="A41:D43"/>
    <mergeCell ref="A56:D58"/>
  </mergeCells>
  <pageMargins left="0.7" right="0.7" top="0.75" bottom="0.75" header="0.3" footer="0.3"/>
  <pageSetup scale="62" orientation="portrait"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6"/>
  <sheetViews>
    <sheetView zoomScaleNormal="100" workbookViewId="0">
      <selection activeCell="H1" sqref="H1"/>
    </sheetView>
  </sheetViews>
  <sheetFormatPr defaultRowHeight="12.75" x14ac:dyDescent="0.2"/>
  <cols>
    <col min="1" max="1" width="4.7109375" style="63" customWidth="1"/>
    <col min="2" max="2" width="40.42578125" style="63" bestFit="1" customWidth="1"/>
    <col min="3" max="6" width="9.140625" style="63"/>
    <col min="7" max="7" width="9.140625" style="63" customWidth="1"/>
    <col min="8" max="8" width="12.85546875" style="63" customWidth="1"/>
  </cols>
  <sheetData>
    <row r="1" spans="1:8" ht="15.75" x14ac:dyDescent="0.2">
      <c r="A1" s="40" t="s">
        <v>97</v>
      </c>
    </row>
    <row r="3" spans="1:8" ht="15" x14ac:dyDescent="0.25">
      <c r="A3" s="24" t="s">
        <v>98</v>
      </c>
      <c r="B3" s="42"/>
      <c r="D3" s="41"/>
      <c r="E3" s="41"/>
      <c r="F3" s="41"/>
    </row>
    <row r="4" spans="1:8" ht="15" x14ac:dyDescent="0.25">
      <c r="A4" s="24" t="s">
        <v>15</v>
      </c>
      <c r="B4" s="42"/>
      <c r="D4" s="43"/>
      <c r="E4" s="43"/>
      <c r="F4" s="43"/>
    </row>
    <row r="5" spans="1:8" ht="15" x14ac:dyDescent="0.25">
      <c r="A5" s="24"/>
      <c r="B5" s="42"/>
      <c r="C5" s="42"/>
      <c r="D5" s="42"/>
      <c r="E5" s="42"/>
    </row>
    <row r="6" spans="1:8" ht="15" x14ac:dyDescent="0.2">
      <c r="A6" s="62" t="s">
        <v>89</v>
      </c>
      <c r="B6" s="62"/>
    </row>
    <row r="7" spans="1:8" ht="13.5" thickBot="1" x14ac:dyDescent="0.25">
      <c r="A7" s="64"/>
    </row>
    <row r="8" spans="1:8" ht="16.5" thickTop="1" thickBot="1" x14ac:dyDescent="0.3">
      <c r="A8" s="65"/>
      <c r="B8" s="66" t="s">
        <v>71</v>
      </c>
      <c r="C8" s="66" t="s">
        <v>72</v>
      </c>
      <c r="D8" s="66" t="s">
        <v>73</v>
      </c>
      <c r="E8" s="66" t="s">
        <v>74</v>
      </c>
      <c r="F8" s="66" t="s">
        <v>75</v>
      </c>
      <c r="G8" s="66" t="s">
        <v>76</v>
      </c>
      <c r="H8" s="66" t="s">
        <v>77</v>
      </c>
    </row>
    <row r="9" spans="1:8" ht="15.75" thickTop="1" x14ac:dyDescent="0.25">
      <c r="A9" s="69"/>
      <c r="B9" s="70"/>
      <c r="C9" s="70"/>
      <c r="D9" s="70"/>
      <c r="E9" s="70"/>
      <c r="F9" s="70"/>
      <c r="G9" s="70"/>
      <c r="H9" s="71"/>
    </row>
    <row r="10" spans="1:8" x14ac:dyDescent="0.2">
      <c r="A10" s="67"/>
      <c r="B10" s="68"/>
      <c r="C10" s="68"/>
      <c r="D10" s="68"/>
      <c r="E10" s="68"/>
      <c r="F10" s="68"/>
      <c r="G10" s="68"/>
      <c r="H10" s="68"/>
    </row>
    <row r="11" spans="1:8" ht="15" x14ac:dyDescent="0.25">
      <c r="A11" s="69"/>
      <c r="B11" s="70"/>
      <c r="C11" s="70"/>
      <c r="D11" s="70"/>
      <c r="E11" s="70"/>
      <c r="F11" s="70"/>
      <c r="G11" s="70"/>
      <c r="H11" s="71"/>
    </row>
    <row r="12" spans="1:8" x14ac:dyDescent="0.2">
      <c r="A12" s="67"/>
      <c r="B12" s="68"/>
      <c r="C12" s="68"/>
      <c r="D12" s="68"/>
      <c r="E12" s="68"/>
      <c r="F12" s="68"/>
      <c r="G12" s="68"/>
      <c r="H12" s="68"/>
    </row>
    <row r="13" spans="1:8" ht="15" x14ac:dyDescent="0.25">
      <c r="A13" s="69"/>
      <c r="B13" s="70"/>
      <c r="C13" s="70"/>
      <c r="D13" s="70"/>
      <c r="E13" s="70"/>
      <c r="F13" s="70"/>
      <c r="G13" s="70"/>
      <c r="H13" s="71"/>
    </row>
    <row r="14" spans="1:8" ht="13.5" thickBot="1" x14ac:dyDescent="0.25">
      <c r="A14" s="67"/>
      <c r="B14" s="68"/>
      <c r="C14" s="68"/>
      <c r="D14" s="68"/>
      <c r="E14" s="68"/>
      <c r="F14" s="68"/>
      <c r="G14" s="68"/>
      <c r="H14" s="68"/>
    </row>
    <row r="15" spans="1:8" ht="16.5" thickTop="1" thickBot="1" x14ac:dyDescent="0.3">
      <c r="A15" s="65"/>
      <c r="B15" s="66" t="s">
        <v>78</v>
      </c>
      <c r="C15" s="66"/>
      <c r="D15" s="66"/>
      <c r="E15" s="66"/>
      <c r="F15" s="66"/>
      <c r="G15" s="66"/>
      <c r="H15" s="72"/>
    </row>
    <row r="16" spans="1:8" ht="13.5" thickTop="1" x14ac:dyDescent="0.2"/>
  </sheetData>
  <customSheetViews>
    <customSheetView guid="{429F8305-68BB-4ABC-90C3-15F066891119}" showPageBreaks="1" fitToPage="1" printArea="1" state="hidden">
      <selection activeCell="H1" sqref="H1"/>
      <pageMargins left="0.7" right="0.7" top="0.75" bottom="0.75" header="0.3" footer="0.3"/>
      <pageSetup scale="82" orientation="portrait" r:id="rId1"/>
    </customSheetView>
    <customSheetView guid="{8308D2E1-AB86-4CA4-BE3B-ED4FFBF05815}" showPageBreaks="1" fitToPage="1" printArea="1">
      <selection activeCell="H1" sqref="H1"/>
      <pageMargins left="0.7" right="0.7" top="0.75" bottom="0.75" header="0.3" footer="0.3"/>
      <pageSetup scale="82" orientation="portrait" r:id="rId2"/>
    </customSheetView>
    <customSheetView guid="{92A3E7EB-B758-49DF-97DF-5A8D46E78E41}" showPageBreaks="1" fitToPage="1" printArea="1">
      <pageMargins left="0.7" right="0.7" top="0.75" bottom="0.75" header="0.3" footer="0.3"/>
      <pageSetup scale="81" orientation="portrait" r:id="rId3"/>
    </customSheetView>
    <customSheetView guid="{2D0FF612-2C81-4DE3-A53A-2E50C9075D5D}" showPageBreaks="1" printArea="1">
      <selection activeCell="C42" sqref="C42"/>
      <pageMargins left="0.7" right="0.7" top="0.75" bottom="0.75" header="0.3" footer="0.3"/>
      <pageSetup orientation="portrait" r:id="rId4"/>
    </customSheetView>
    <customSheetView guid="{5401927F-BD7B-4D49-AE97-64368FC18A60}" showPageBreaks="1" fitToPage="1" printArea="1">
      <selection activeCell="C42" sqref="C42"/>
      <pageMargins left="0.7" right="0.7" top="0.75" bottom="0.75" header="0.3" footer="0.3"/>
      <pageSetup scale="85" orientation="portrait" r:id="rId5"/>
    </customSheetView>
    <customSheetView guid="{2C6533C7-057C-4A7C-ABD2-7930463500B1}" showPageBreaks="1" fitToPage="1" printArea="1">
      <selection activeCell="F4" sqref="F4"/>
      <pageMargins left="0.7" right="0.7" top="0.75" bottom="0.75" header="0.3" footer="0.3"/>
      <pageSetup scale="81" orientation="portrait" r:id="rId6"/>
    </customSheetView>
    <customSheetView guid="{F44AC75F-827A-46B7-974C-E8545DF2AEDE}" fitToPage="1">
      <selection activeCell="H1" sqref="H1"/>
      <pageMargins left="0.7" right="0.7" top="0.75" bottom="0.75" header="0.3" footer="0.3"/>
      <pageSetup scale="82" orientation="portrait" r:id="rId7"/>
    </customSheetView>
  </customSheetViews>
  <pageMargins left="0.7" right="0.7" top="0.75" bottom="0.75" header="0.3" footer="0.3"/>
  <pageSetup scale="82" orientation="portrait"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337F183463271438D1894FE4B75B6BE" ma:contentTypeVersion="0" ma:contentTypeDescription="Create a new document." ma:contentTypeScope="" ma:versionID="5a43ddaa3fc1c4b5fbad922418d7efb5">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5D4E39-C589-407C-984A-8C730A0CC1F9}">
  <ds:schemaRefs>
    <ds:schemaRef ds:uri="http://purl.org/dc/dcmitype/"/>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http://www.w3.org/XML/1998/namespace"/>
    <ds:schemaRef ds:uri="http://purl.org/dc/terms/"/>
    <ds:schemaRef ds:uri="http://schemas.microsoft.com/office/infopath/2007/PartnerControls"/>
  </ds:schemaRefs>
</ds:datastoreItem>
</file>

<file path=customXml/itemProps2.xml><?xml version="1.0" encoding="utf-8"?>
<ds:datastoreItem xmlns:ds="http://schemas.openxmlformats.org/officeDocument/2006/customXml" ds:itemID="{0DC62A21-6653-49B3-A136-4034EA2D2E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58C0E477-D4F8-4E94-8DC5-3D2FB03ECD5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Annex E-1</vt:lpstr>
      <vt:lpstr>Annex E-2</vt:lpstr>
      <vt:lpstr>Annex E-3</vt:lpstr>
      <vt:lpstr>Sheet1</vt:lpstr>
      <vt:lpstr>Annex E-4</vt:lpstr>
      <vt:lpstr>Annex E-5</vt:lpstr>
      <vt:lpstr>'Annex E-1'!Print_Area</vt:lpstr>
      <vt:lpstr>'Annex E-2'!Print_Area</vt:lpstr>
      <vt:lpstr>'Annex E-3'!Print_Area</vt:lpstr>
      <vt:lpstr>'Annex E-5'!Print_Area</vt:lpstr>
    </vt:vector>
  </TitlesOfParts>
  <Company>PMO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VN</dc:creator>
  <cp:lastModifiedBy>Aswathy Raj</cp:lastModifiedBy>
  <cp:lastPrinted>2016-03-10T02:46:49Z</cp:lastPrinted>
  <dcterms:created xsi:type="dcterms:W3CDTF">2006-12-28T04:19:25Z</dcterms:created>
  <dcterms:modified xsi:type="dcterms:W3CDTF">2023-04-19T07:58:24Z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f9331f7-95a2-472a-92bc-d73219eb516b_Enabled">
    <vt:lpwstr>True</vt:lpwstr>
  </property>
  <property fmtid="{D5CDD505-2E9C-101B-9397-08002B2CF9AE}" pid="3" name="MSIP_Label_3f9331f7-95a2-472a-92bc-d73219eb516b_SiteId">
    <vt:lpwstr>0b11c524-9a1c-4e1b-84cb-6336aefc2243</vt:lpwstr>
  </property>
  <property fmtid="{D5CDD505-2E9C-101B-9397-08002B2CF9AE}" pid="4" name="MSIP_Label_3f9331f7-95a2-472a-92bc-d73219eb516b_Owner">
    <vt:lpwstr>Elaine_LIM@nrf.gov.sg</vt:lpwstr>
  </property>
  <property fmtid="{D5CDD505-2E9C-101B-9397-08002B2CF9AE}" pid="5" name="MSIP_Label_3f9331f7-95a2-472a-92bc-d73219eb516b_SetDate">
    <vt:lpwstr>2019-12-06T02:57:30.0639448Z</vt:lpwstr>
  </property>
  <property fmtid="{D5CDD505-2E9C-101B-9397-08002B2CF9AE}" pid="6" name="MSIP_Label_3f9331f7-95a2-472a-92bc-d73219eb516b_Name">
    <vt:lpwstr>CONFIDENTIAL</vt:lpwstr>
  </property>
  <property fmtid="{D5CDD505-2E9C-101B-9397-08002B2CF9AE}" pid="7" name="MSIP_Label_3f9331f7-95a2-472a-92bc-d73219eb516b_Application">
    <vt:lpwstr>Microsoft Azure Information Protection</vt:lpwstr>
  </property>
  <property fmtid="{D5CDD505-2E9C-101B-9397-08002B2CF9AE}" pid="8" name="MSIP_Label_3f9331f7-95a2-472a-92bc-d73219eb516b_ActionId">
    <vt:lpwstr>2bc10b23-4b0e-44fb-9822-e70405e27135</vt:lpwstr>
  </property>
  <property fmtid="{D5CDD505-2E9C-101B-9397-08002B2CF9AE}" pid="9" name="MSIP_Label_3f9331f7-95a2-472a-92bc-d73219eb516b_Extended_MSFT_Method">
    <vt:lpwstr>Automatic</vt:lpwstr>
  </property>
  <property fmtid="{D5CDD505-2E9C-101B-9397-08002B2CF9AE}" pid="10" name="MSIP_Label_4f288355-fb4c-44cd-b9ca-40cfc2aee5f8_Enabled">
    <vt:lpwstr>True</vt:lpwstr>
  </property>
  <property fmtid="{D5CDD505-2E9C-101B-9397-08002B2CF9AE}" pid="11" name="MSIP_Label_4f288355-fb4c-44cd-b9ca-40cfc2aee5f8_SiteId">
    <vt:lpwstr>0b11c524-9a1c-4e1b-84cb-6336aefc2243</vt:lpwstr>
  </property>
  <property fmtid="{D5CDD505-2E9C-101B-9397-08002B2CF9AE}" pid="12" name="MSIP_Label_4f288355-fb4c-44cd-b9ca-40cfc2aee5f8_Owner">
    <vt:lpwstr>Elaine_LIM@nrf.gov.sg</vt:lpwstr>
  </property>
  <property fmtid="{D5CDD505-2E9C-101B-9397-08002B2CF9AE}" pid="13" name="MSIP_Label_4f288355-fb4c-44cd-b9ca-40cfc2aee5f8_SetDate">
    <vt:lpwstr>2019-12-06T02:57:30.0639448Z</vt:lpwstr>
  </property>
  <property fmtid="{D5CDD505-2E9C-101B-9397-08002B2CF9AE}" pid="14" name="MSIP_Label_4f288355-fb4c-44cd-b9ca-40cfc2aee5f8_Name">
    <vt:lpwstr>NON-SENSITIVE</vt:lpwstr>
  </property>
  <property fmtid="{D5CDD505-2E9C-101B-9397-08002B2CF9AE}" pid="15" name="MSIP_Label_4f288355-fb4c-44cd-b9ca-40cfc2aee5f8_Application">
    <vt:lpwstr>Microsoft Azure Information Protection</vt:lpwstr>
  </property>
  <property fmtid="{D5CDD505-2E9C-101B-9397-08002B2CF9AE}" pid="16" name="MSIP_Label_4f288355-fb4c-44cd-b9ca-40cfc2aee5f8_ActionId">
    <vt:lpwstr>2bc10b23-4b0e-44fb-9822-e70405e27135</vt:lpwstr>
  </property>
  <property fmtid="{D5CDD505-2E9C-101B-9397-08002B2CF9AE}" pid="17" name="MSIP_Label_4f288355-fb4c-44cd-b9ca-40cfc2aee5f8_Parent">
    <vt:lpwstr>3f9331f7-95a2-472a-92bc-d73219eb516b</vt:lpwstr>
  </property>
  <property fmtid="{D5CDD505-2E9C-101B-9397-08002B2CF9AE}" pid="18" name="MSIP_Label_4f288355-fb4c-44cd-b9ca-40cfc2aee5f8_Extended_MSFT_Method">
    <vt:lpwstr>Automatic</vt:lpwstr>
  </property>
  <property fmtid="{D5CDD505-2E9C-101B-9397-08002B2CF9AE}" pid="19" name="Sensitivity">
    <vt:lpwstr>CONFIDENTIAL NON-SENSITIVE</vt:lpwstr>
  </property>
</Properties>
</file>