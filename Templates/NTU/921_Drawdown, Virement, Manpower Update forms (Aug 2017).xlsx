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wathy.raj\Downloads\Claim templates stage instance\changed templates\"/>
    </mc:Choice>
  </mc:AlternateContent>
  <xr:revisionPtr revIDLastSave="0" documentId="13_ncr:1_{71D0F1A8-F1BD-40A9-8B1A-23C3EDA41E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uarterly Drawdown Template" sheetId="1" r:id="rId1"/>
    <sheet name="Final Statement of Account" sheetId="3" r:id="rId2"/>
    <sheet name="Manpower Update" sheetId="4" r:id="rId3"/>
  </sheets>
  <definedNames>
    <definedName name="_xlnm.Print_Area" localSheetId="1">'Final Statement of Account'!$A$1:$J$250</definedName>
    <definedName name="_xlnm.Print_Area" localSheetId="0">'Quarterly Drawdown Template'!$A$1:$I$46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I11" i="1" s="1"/>
  <c r="I17" i="1" s="1"/>
  <c r="I19" i="1" s="1"/>
  <c r="G12" i="1"/>
  <c r="I12" i="1" s="1"/>
  <c r="G13" i="1"/>
  <c r="I13" i="1" s="1"/>
  <c r="G14" i="1"/>
  <c r="I14" i="1" s="1"/>
  <c r="G15" i="1"/>
  <c r="I15" i="1" s="1"/>
  <c r="I17" i="3"/>
  <c r="J17" i="3" s="1"/>
  <c r="I16" i="3"/>
  <c r="J16" i="3" s="1"/>
  <c r="I15" i="3"/>
  <c r="J15" i="3" s="1"/>
  <c r="I14" i="3"/>
  <c r="J14" i="3" s="1"/>
  <c r="I13" i="3"/>
  <c r="J13" i="3" s="1"/>
  <c r="J20" i="3" s="1"/>
  <c r="J22" i="3" s="1"/>
  <c r="H16" i="1" a="1"/>
  <c r="G16" i="1" a="1"/>
  <c r="F16" i="1" a="1"/>
  <c r="E16" i="1" a="1"/>
  <c r="D16" i="1" a="1"/>
  <c r="C16" i="1" a="1"/>
  <c r="I18" i="3" a="1"/>
  <c r="H18" i="3" a="1"/>
  <c r="G18" i="3" a="1"/>
  <c r="F18" i="3" a="1"/>
  <c r="E18" i="3" a="1"/>
  <c r="D18" i="3" a="1"/>
  <c r="H16" i="1" l="1"/>
  <c r="G16" i="1"/>
  <c r="F16" i="1"/>
  <c r="E16" i="1"/>
  <c r="D16" i="1"/>
  <c r="C16" i="1"/>
  <c r="I18" i="3"/>
  <c r="H18" i="3"/>
  <c r="G18" i="3"/>
  <c r="F18" i="3"/>
  <c r="J18" i="3" s="1"/>
  <c r="E18" i="3"/>
  <c r="D18" i="3"/>
  <c r="I16" i="1"/>
  <c r="D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  <author>Ajin VS</author>
  </authors>
  <commentList>
    <comment ref="A1" authorId="0" shapeId="0" xr:uid="{4BB230EC-CD6D-4E8D-97C0-BC29A561990E}">
      <text>
        <r>
          <rPr>
            <b/>
            <sz val="9"/>
            <color indexed="81"/>
            <rFont val="Tahoma"/>
            <family val="2"/>
          </rPr>
          <t>jx:area(lastCell="I9")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1" shapeId="0" xr:uid="{DB2AC526-90A3-44F2-B6BD-ABAB2DF5F57F}">
      <text>
        <r>
          <rPr>
            <b/>
            <sz val="9"/>
            <color indexed="81"/>
            <rFont val="Tahoma"/>
            <family val="2"/>
          </rPr>
          <t>jx:area(lastCell="J11")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1" shapeId="0" xr:uid="{1287D41B-6781-4E76-B539-FDEEDF8131B9}">
      <text>
        <r>
          <rPr>
            <b/>
            <sz val="9"/>
            <color indexed="81"/>
            <rFont val="Tahoma"/>
            <family val="2"/>
          </rPr>
          <t>jx:each (items="claimVO.claimSummary" var="summary" lastCell="J11" select="summary.budgetCategory.code == 'EOM'")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" authorId="1" shapeId="0" xr:uid="{1B6E3406-3338-4572-8DE8-1ED71AEF2C8E}">
      <text>
        <r>
          <rPr>
            <b/>
            <sz val="9"/>
            <color indexed="81"/>
            <rFont val="Tahoma"/>
            <family val="2"/>
          </rPr>
          <t>jx:area(lastCell="J12")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2" authorId="1" shapeId="0" xr:uid="{375FF9E5-9945-4507-B468-F798BF108B50}">
      <text>
        <r>
          <rPr>
            <b/>
            <sz val="9"/>
            <color indexed="81"/>
            <rFont val="Tahoma"/>
            <family val="2"/>
          </rPr>
          <t>jx:each (items="claimVO.claimSummary" var="summary" lastCell="I12" select="summary.budgetCategory.code == 'EQT'")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1" shapeId="0" xr:uid="{BBE043A5-1B9A-4A03-9A69-3FFD70D76837}">
      <text>
        <r>
          <rPr>
            <b/>
            <sz val="9"/>
            <color indexed="81"/>
            <rFont val="Tahoma"/>
            <family val="2"/>
          </rPr>
          <t>jx:area(lastCell="J13")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" authorId="1" shapeId="0" xr:uid="{67D05E05-7237-46B4-8DE1-915813AD2BAC}">
      <text>
        <r>
          <rPr>
            <b/>
            <sz val="9"/>
            <color indexed="81"/>
            <rFont val="Tahoma"/>
            <family val="2"/>
          </rPr>
          <t>jx:area(lastCell="J14")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1" shapeId="0" xr:uid="{20DF2C0F-0A27-46C8-9242-1620E3FD6342}">
      <text>
        <r>
          <rPr>
            <b/>
            <sz val="9"/>
            <color indexed="81"/>
            <rFont val="Tahoma"/>
            <family val="2"/>
          </rPr>
          <t>jx:each (items="claimVO.claimSummary" var="summary" lastCell="I14" select="summary.budgetCategory.code == 'OST'")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" authorId="1" shapeId="0" xr:uid="{BB780D51-3A83-4F3C-BF52-27BEF169E37B}">
      <text>
        <r>
          <rPr>
            <b/>
            <sz val="9"/>
            <color indexed="81"/>
            <rFont val="Tahoma"/>
            <family val="2"/>
          </rPr>
          <t>jx:area(lastCell="I15")
jx:each (items="claimVO.claimSummary" var="summary" lastCell="I15" select="summary.budgetCategory.code == 'RSS'")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1" shapeId="0" xr:uid="{D731D7E8-96DD-4E4A-A68D-5EBE1794663B}">
      <text>
        <r>
          <rPr>
            <b/>
            <sz val="9"/>
            <color indexed="81"/>
            <rFont val="Tahoma"/>
            <family val="2"/>
          </rPr>
          <t>jx:area(lastCell="J55")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1" shapeId="0" xr:uid="{79AB6942-F7DB-4732-8F02-653A5A0C321B}">
      <text>
        <r>
          <rPr>
            <b/>
            <sz val="9"/>
            <color indexed="81"/>
            <rFont val="Tahoma"/>
            <family val="2"/>
          </rPr>
          <t>jx:area(lastCell="I47")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  <author>Ajin VS</author>
  </authors>
  <commentList>
    <comment ref="A1" authorId="0" shapeId="0" xr:uid="{A7D732E9-8DF5-4BFB-943E-03C330F7853E}">
      <text>
        <r>
          <rPr>
            <b/>
            <sz val="9"/>
            <color indexed="81"/>
            <rFont val="Tahoma"/>
            <family val="2"/>
          </rPr>
          <t>jx:area(lastCell="J12")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" authorId="1" shapeId="0" xr:uid="{4DBFC683-C823-4F0A-B2A9-8F2284877AEA}">
      <text>
        <r>
          <rPr>
            <b/>
            <sz val="9"/>
            <color indexed="81"/>
            <rFont val="Tahoma"/>
            <family val="2"/>
          </rPr>
          <t>jx:area(lastCell="J13")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3" authorId="1" shapeId="0" xr:uid="{8E3A9816-4A49-4EF9-B80C-D24A2177666D}">
      <text>
        <r>
          <rPr>
            <b/>
            <sz val="9"/>
            <color indexed="81"/>
            <rFont val="Tahoma"/>
            <family val="2"/>
          </rPr>
          <t>jx:each (items="claimVO.claimSummary" var="summary" lastCell="J13" select="summary.budgetCategory.code == 'EOM'")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4" authorId="1" shapeId="0" xr:uid="{E0AB25EE-95FC-431D-B36C-35D552BD0F4F}">
      <text>
        <r>
          <rPr>
            <b/>
            <sz val="9"/>
            <color indexed="81"/>
            <rFont val="Tahoma"/>
            <family val="2"/>
          </rPr>
          <t>jx:area(lastCell="J14")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" authorId="1" shapeId="0" xr:uid="{326C35AE-72A3-450A-8089-27D6FE6605A3}">
      <text>
        <r>
          <rPr>
            <b/>
            <sz val="9"/>
            <color indexed="81"/>
            <rFont val="Tahoma"/>
            <family val="2"/>
          </rPr>
          <t>jx:each (items="claimVO.claimSummary" var="summary" lastCell="I14" select="summary.budgetCategory.code == 'EQT'")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" authorId="1" shapeId="0" xr:uid="{2C31CB38-02F4-47AD-ACF4-57EE1493620F}">
      <text>
        <r>
          <rPr>
            <b/>
            <sz val="9"/>
            <color indexed="81"/>
            <rFont val="Tahoma"/>
            <family val="2"/>
          </rPr>
          <t>jx:area(lastCell="J15")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1" shapeId="0" xr:uid="{11A6A9EF-0E71-440A-81A0-9F49F0CC9DDD}">
      <text>
        <r>
          <rPr>
            <b/>
            <sz val="9"/>
            <color indexed="81"/>
            <rFont val="Tahoma"/>
            <family val="2"/>
          </rPr>
          <t>jx:area(lastCell="J16")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" authorId="1" shapeId="0" xr:uid="{14A6776B-481C-4DB3-8988-2AF01BFD255A}">
      <text>
        <r>
          <rPr>
            <b/>
            <sz val="9"/>
            <color indexed="81"/>
            <rFont val="Tahoma"/>
            <family val="2"/>
          </rPr>
          <t>jx:each (items="claimVO.claimSummary" var="summary" lastCell="I16" select="summary.budgetCategory.code == 'OST'")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7" authorId="1" shapeId="0" xr:uid="{BEE91E36-E253-406F-AAA6-8D34E918431C}">
      <text>
        <r>
          <rPr>
            <b/>
            <sz val="9"/>
            <color indexed="81"/>
            <rFont val="Tahoma"/>
            <family val="2"/>
          </rPr>
          <t>jx:area(lastCell="J17")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1" shapeId="0" xr:uid="{EB1D1913-5FB6-41FA-9D13-709992467FF8}">
      <text>
        <r>
          <rPr>
            <b/>
            <sz val="9"/>
            <color indexed="81"/>
            <rFont val="Tahoma"/>
            <family val="2"/>
          </rPr>
          <t>jx:each (items="claimVO.claimSummary" var="summary" lastCell="I17" select="summary.budgetCategory.code == 'RSS'")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8" authorId="1" shapeId="0" xr:uid="{C3C859A7-2A46-4A5C-8E9A-38F4AEF80B41}">
      <text>
        <r>
          <rPr>
            <b/>
            <sz val="9"/>
            <color indexed="81"/>
            <rFont val="Tahoma"/>
            <family val="2"/>
          </rPr>
          <t>jx:area(lastCell="J55")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Aswathy Raj</author>
  </authors>
  <commentList>
    <comment ref="A1" authorId="0" shapeId="0" xr:uid="{185DA5CA-A486-4107-8885-1CB80F90A5DC}">
      <text>
        <r>
          <rPr>
            <b/>
            <sz val="9"/>
            <color indexed="81"/>
            <rFont val="Tahoma"/>
            <family val="2"/>
          </rPr>
          <t>jx:area(lastCell="H25")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" authorId="0" shapeId="0" xr:uid="{7F2D7912-82B9-4EEA-AEAB-AAA0645C3F0C}">
      <text>
        <r>
          <rPr>
            <b/>
            <sz val="9"/>
            <color indexed="81"/>
            <rFont val="Tahoma"/>
            <family val="2"/>
          </rPr>
          <t>jx:each(items="claimVO.currentManPowerResource"  groupBy="fullName"  var="awardManpower" varIndex="index" lastCell="H12")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" authorId="0" shapeId="0" xr:uid="{F987B383-8EF7-4C74-AAF2-93D7760FAFDF}">
      <text>
        <r>
          <rPr>
            <b/>
            <sz val="9"/>
            <color indexed="81"/>
            <rFont val="Tahoma"/>
            <family val="2"/>
          </rPr>
          <t>jx:each(items="claimVO.pastManpowerResource" groupBy="fullName" var="awardManpower" varIndex="index" lastCell="H16")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1" authorId="0" shapeId="0" xr:uid="{065B7967-22F5-4BEC-A8D2-8BB5D80DE96B}">
      <text>
        <r>
          <rPr>
            <b/>
            <sz val="9"/>
            <color indexed="81"/>
            <rFont val="Tahoma"/>
            <family val="2"/>
          </rPr>
          <t>jx:each(items="claimVO.approvedManpowerCounts" var="approvedManpower" lastCell="D21")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<sst xmlns="http://schemas.openxmlformats.org/spreadsheetml/2006/main" count="206" uniqueCount="98">
  <si>
    <t>CONSOLIDATED STATEMENT</t>
  </si>
  <si>
    <t xml:space="preserve">Cumulative Expenditure as at </t>
  </si>
  <si>
    <t>Funds to be Credited to Cost Centre for</t>
  </si>
  <si>
    <t>(a)</t>
  </si>
  <si>
    <t>(b)</t>
  </si>
  <si>
    <t>(c) = (a) - (b)</t>
  </si>
  <si>
    <t>(d)</t>
  </si>
  <si>
    <t>(e) = (d) - (c)</t>
  </si>
  <si>
    <t>Net Funds to be Received</t>
  </si>
  <si>
    <t>Please credit the fund to:</t>
  </si>
  <si>
    <t>Bank Name:</t>
  </si>
  <si>
    <t>Bank A/C Holder Name:</t>
  </si>
  <si>
    <t>Bank A/C No.:</t>
  </si>
  <si>
    <t>Cumulative Received as at</t>
  </si>
  <si>
    <t>NAME OF INSTITUTION / ORGANISATION :</t>
  </si>
  <si>
    <t>Expenditure Incurred in the last quarter</t>
  </si>
  <si>
    <t>Total Actual Expenditure Incurred</t>
  </si>
  <si>
    <t>Balance Funds to be Returned to NRF</t>
  </si>
  <si>
    <t xml:space="preserve">(d) = (b) + (c) </t>
  </si>
  <si>
    <t>(e) = (a) - (d)</t>
  </si>
  <si>
    <t>FOR THE MONTHS OF</t>
  </si>
  <si>
    <r>
      <t xml:space="preserve">Important Notes:
</t>
    </r>
    <r>
      <rPr>
        <sz val="12"/>
        <rFont val="Arial"/>
        <family val="2"/>
      </rPr>
      <t xml:space="preserve">1. The manpower list should contain </t>
    </r>
    <r>
      <rPr>
        <b/>
        <i/>
        <sz val="12"/>
        <rFont val="Arial"/>
        <family val="2"/>
      </rPr>
      <t xml:space="preserve">all staff </t>
    </r>
    <r>
      <rPr>
        <sz val="12"/>
        <rFont val="Arial"/>
        <family val="2"/>
      </rPr>
      <t xml:space="preserve">employed under the programme </t>
    </r>
    <r>
      <rPr>
        <b/>
        <sz val="12"/>
        <rFont val="Arial"/>
        <family val="2"/>
      </rPr>
      <t xml:space="preserve">including those whose employment has ended.
</t>
    </r>
    <r>
      <rPr>
        <sz val="12"/>
        <rFont val="Arial"/>
        <family val="2"/>
      </rPr>
      <t xml:space="preserve">2. </t>
    </r>
    <r>
      <rPr>
        <b/>
        <sz val="12"/>
        <rFont val="Arial"/>
        <family val="2"/>
      </rPr>
      <t xml:space="preserve">Both tables should be filled accordingly.  Fund disbursement may be delayed/withheld if this form is not completely/properly filled accordingly.
</t>
    </r>
    <r>
      <rPr>
        <sz val="12"/>
        <rFont val="Arial"/>
        <family val="2"/>
      </rPr>
      <t xml:space="preserve">
</t>
    </r>
    <r>
      <rPr>
        <u/>
        <sz val="12"/>
        <rFont val="Arial"/>
        <family val="2"/>
      </rPr>
      <t>a) Current Headcount</t>
    </r>
    <r>
      <rPr>
        <sz val="12"/>
        <rFont val="Arial"/>
        <family val="2"/>
      </rPr>
      <t xml:space="preserve">
3. If new staff are to be employed during the financial year, please add on under the "Current Headcount" list.
4. For staff </t>
    </r>
    <r>
      <rPr>
        <b/>
        <i/>
        <sz val="12"/>
        <rFont val="Arial"/>
        <family val="2"/>
      </rPr>
      <t>transferred</t>
    </r>
    <r>
      <rPr>
        <sz val="12"/>
        <rFont val="Arial"/>
        <family val="2"/>
      </rPr>
      <t xml:space="preserve"> from other funding sources, please indicate the </t>
    </r>
    <r>
      <rPr>
        <b/>
        <sz val="12"/>
        <rFont val="Arial"/>
        <family val="2"/>
      </rPr>
      <t>start date of employment for this project only</t>
    </r>
    <r>
      <rPr>
        <sz val="12"/>
        <rFont val="Arial"/>
        <family val="2"/>
      </rPr>
      <t xml:space="preserve">.
</t>
    </r>
    <r>
      <rPr>
        <u/>
        <sz val="12"/>
        <rFont val="Arial"/>
        <family val="2"/>
      </rPr>
      <t>b) Past Headcount</t>
    </r>
    <r>
      <rPr>
        <sz val="12"/>
        <rFont val="Arial"/>
        <family val="2"/>
      </rPr>
      <t xml:space="preserve">
5. Please list all staff whose employment has ended under the "Past Headcount" list.
</t>
    </r>
    <r>
      <rPr>
        <u/>
        <sz val="12"/>
        <rFont val="Arial"/>
        <family val="2"/>
      </rPr>
      <t>c) Summary of Manpower</t>
    </r>
    <r>
      <rPr>
        <sz val="12"/>
        <rFont val="Arial"/>
        <family val="2"/>
      </rPr>
      <t xml:space="preserve">
6. Please provide the total number of approved and actual staff (by category) employed under the programme. 
</t>
    </r>
    <r>
      <rPr>
        <b/>
        <sz val="12"/>
        <rFont val="Arial"/>
        <family val="2"/>
      </rPr>
      <t/>
    </r>
  </si>
  <si>
    <t>S/N</t>
  </si>
  <si>
    <t>Name of Staff</t>
  </si>
  <si>
    <t>Designation</t>
  </si>
  <si>
    <t>Institution</t>
  </si>
  <si>
    <t>Start Date of Employment 
(dd-mmm-yyyy)</t>
  </si>
  <si>
    <t>End Date of Employment 
(dd-mmm-yyyy)</t>
  </si>
  <si>
    <t>Nationality</t>
  </si>
  <si>
    <t>Country</t>
  </si>
  <si>
    <t>a) Current Headcount</t>
  </si>
  <si>
    <t>b) Past Headcount</t>
  </si>
  <si>
    <t xml:space="preserve">c) Summary of Manpower </t>
  </si>
  <si>
    <t>Manpower Category</t>
  </si>
  <si>
    <t>Approved Headcount</t>
  </si>
  <si>
    <t>Actual Headcount</t>
  </si>
  <si>
    <t>Cost Centre</t>
  </si>
  <si>
    <t>&lt;to be completed by NRF&gt;</t>
  </si>
  <si>
    <t>FI/Programme</t>
  </si>
  <si>
    <t>NATIONAL RESEARCH FUND DRAWDOWN FOR FUNDING INITIATIVE (FI)/PROGRAMME</t>
  </si>
  <si>
    <t>FI/Programme Current Year Budget</t>
  </si>
  <si>
    <t>FI/Programme  Committed Budget</t>
  </si>
  <si>
    <t>NATIONAL RESEARCH FUND FINAL STATEMENT OF ACCOUNT FOR FOR FUNDING INITIATIVE (FI)/PROGRAMME</t>
  </si>
  <si>
    <t>FI/Programme Committed Budget</t>
  </si>
  <si>
    <t>FI/Programme
End Date</t>
  </si>
  <si>
    <t>FI/Programme
Start Date</t>
  </si>
  <si>
    <t>FI/Programme
Current Year Budget</t>
  </si>
  <si>
    <t>NATIONAL RESEARCH FOUNDATION QUARTERLY UPDATE OF MANPOWER LISTING FOR FUNDING INITIATIVE (FI)/PROGRAMME</t>
  </si>
  <si>
    <t>NAME OF FUNDING INITIATIVE/PROGRAMME:</t>
  </si>
  <si>
    <t>NAME OF FUNDING INITIATIVE/PROGRAMME :</t>
  </si>
  <si>
    <t>CERTIFICATION</t>
  </si>
  <si>
    <t xml:space="preserve">We hereby certify that the particulars provided above are true and correct, and verified against the original source documents. </t>
  </si>
  <si>
    <t>The request has also been made in accordance to the NR Fund Guide.</t>
  </si>
  <si>
    <t>(signature &amp; Date)</t>
  </si>
  <si>
    <t>(signature)</t>
  </si>
  <si>
    <t># Enclosed Bank Statement</t>
  </si>
  <si>
    <t xml:space="preserve">(c) </t>
  </si>
  <si>
    <t>Expenditure as at</t>
  </si>
  <si>
    <t>Actual Expenditure for</t>
  </si>
  <si>
    <t>${claimVO.claim.award.sponsorAwardNumber}</t>
  </si>
  <si>
    <t>Nanyang Technological University</t>
  </si>
  <si>
    <t>${claimVO.claim.foName}</t>
  </si>
  <si>
    <t>${claimVO.claim.rsoName}</t>
  </si>
  <si>
    <t xml:space="preserve">${claimVO.claim.payeeBank}      </t>
  </si>
  <si>
    <t>${claimVO.claim.payeeAccountName}</t>
  </si>
  <si>
    <t>${claimVO.claim.payeeAccountNumber}</t>
  </si>
  <si>
    <t>${claimVO.claimStartAndEndYear}</t>
  </si>
  <si>
    <t>${index+1}</t>
  </si>
  <si>
    <t>${manpower.manpowerCount}</t>
  </si>
  <si>
    <t># Less Bank interest earned for ${claimVO.claimStartAndEndYear} (if applicable)</t>
  </si>
  <si>
    <t>${claimVO.lastClaimEndDate}</t>
  </si>
  <si>
    <t>${approvedManpower.jobProfileTitle}</t>
  </si>
  <si>
    <t>${approvedManpower.manpowerCount}</t>
  </si>
  <si>
    <t>Date :${claimVO.claimRSOApprovalDate}</t>
  </si>
  <si>
    <t xml:space="preserve">FUNDING PERIOD : </t>
  </si>
  <si>
    <t>Project Title : ${claimVO.claim.award.title} - ${claimVO.claim.award.sponsorAwardNumber}</t>
  </si>
  <si>
    <t>Manpower (EOM)</t>
  </si>
  <si>
    <t>${summary.latestApprovedBudget}</t>
  </si>
  <si>
    <t>${summary.originalApprovedBudget}</t>
  </si>
  <si>
    <t>${summary.prevClaimsTotalAmount}</t>
  </si>
  <si>
    <t>${summary.amountRequested}</t>
  </si>
  <si>
    <t>Equipment (EQP)</t>
  </si>
  <si>
    <t>Other Operating Expenses (OOE)</t>
  </si>
  <si>
    <t>${claimVO.summaryOOE_MACSumValues.latestApprovedBudgetForOOEMAC}</t>
  </si>
  <si>
    <t>${claimVO.summaryOOE_MACSumValues.originalApprovedBudgetForOOEMAC}</t>
  </si>
  <si>
    <t>${claimVO.summaryOOE_MACSumValues.prevClaimsTotalAmountForOOEMAC}</t>
  </si>
  <si>
    <t>${claimVO.summaryOOE_MACSumValues.amountRequestedForOOEMAC}</t>
  </si>
  <si>
    <t>Overseas Travel (OT)</t>
  </si>
  <si>
    <t>Research Scholarship (RS)*</t>
  </si>
  <si>
    <t>${awardManpower.item.fullName}</t>
  </si>
  <si>
    <t>${awardManpower.items[0].manpowerJobProfileType.defaultJobTitle}</t>
  </si>
  <si>
    <t>${awardManpower.items[0].chargeStartDate}</t>
  </si>
  <si>
    <t>${awardManpower.items[0].manpower.decryptedCitizenShip}</t>
  </si>
  <si>
    <t>${awardManpower.items[0].manpower.decryptedNationality}</t>
  </si>
  <si>
    <t>${awardManpower.items[awardManpower.items.size()-1].chargeEndDate}</t>
  </si>
  <si>
    <t>${claimVO.claim.award.beginDate}</t>
  </si>
  <si>
    <t>${claimVO.claim.award.finalExpirationDate}</t>
  </si>
  <si>
    <t>Indirect Costs (${claimVO.oHPercentage}% Overheads)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</si>
</sst>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d/mmm/yyyy;@"/>
    <numFmt numFmtId="165" formatCode="[$-14809]d\ mmmm\ yyyy;@"/>
    <numFmt numFmtId="166" formatCode="dd\-mmm\-yyyy"/>
    <numFmt numFmtId="167" formatCode="#,##0.00;[Black]\ \ \-\ #,##0.00"/>
    <numFmt numFmtId="168" formatCode="dd/mmm/yyyy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b/>
      <sz val="11"/>
      <name val="Arial"/>
      <family val="2"/>
    </font>
    <font>
      <b/>
      <u/>
      <sz val="12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i/>
      <sz val="12"/>
      <color theme="1"/>
      <name val="Arial"/>
      <family val="2"/>
    </font>
    <font>
      <u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 wrapText="1"/>
    </xf>
    <xf numFmtId="43" fontId="5" fillId="0" borderId="1" xfId="1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43" fontId="6" fillId="0" borderId="2" xfId="1" applyFont="1" applyBorder="1" applyAlignment="1">
      <alignment horizontal="center" wrapText="1"/>
    </xf>
    <xf numFmtId="0" fontId="6" fillId="0" borderId="0" xfId="0" applyFont="1"/>
    <xf numFmtId="43" fontId="6" fillId="0" borderId="0" xfId="1" applyFont="1" applyAlignment="1">
      <alignment horizontal="right" vertical="top" wrapText="1"/>
    </xf>
    <xf numFmtId="43" fontId="6" fillId="0" borderId="0" xfId="1" applyFont="1" applyAlignment="1">
      <alignment horizontal="center" vertical="top" wrapText="1"/>
    </xf>
    <xf numFmtId="43" fontId="6" fillId="0" borderId="0" xfId="1" quotePrefix="1" applyFont="1" applyAlignment="1">
      <alignment horizontal="center" vertical="top" wrapText="1"/>
    </xf>
    <xf numFmtId="0" fontId="6" fillId="0" borderId="0" xfId="0" applyFont="1" applyAlignment="1">
      <alignment horizontal="left" vertical="top"/>
    </xf>
    <xf numFmtId="43" fontId="6" fillId="0" borderId="0" xfId="1" applyFont="1" applyFill="1" applyAlignment="1">
      <alignment horizontal="right" vertical="top" wrapText="1"/>
    </xf>
    <xf numFmtId="39" fontId="6" fillId="0" borderId="0" xfId="1" applyNumberFormat="1" applyFont="1" applyAlignment="1">
      <alignment horizontal="right" vertical="top" wrapText="1"/>
    </xf>
    <xf numFmtId="39" fontId="4" fillId="0" borderId="0" xfId="0" applyNumberFormat="1" applyFont="1"/>
    <xf numFmtId="43" fontId="4" fillId="0" borderId="0" xfId="0" applyNumberFormat="1" applyFont="1"/>
    <xf numFmtId="0" fontId="6" fillId="0" borderId="0" xfId="0" applyFont="1" applyAlignment="1">
      <alignment horizontal="left"/>
    </xf>
    <xf numFmtId="39" fontId="6" fillId="0" borderId="0" xfId="0" applyNumberFormat="1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0" fontId="7" fillId="0" borderId="2" xfId="0" applyFont="1" applyBorder="1"/>
    <xf numFmtId="0" fontId="7" fillId="0" borderId="0" xfId="0" quotePrefix="1" applyFont="1"/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0" applyFont="1"/>
    <xf numFmtId="0" fontId="6" fillId="0" borderId="0" xfId="0" applyFont="1" applyAlignment="1">
      <alignment horizontal="right"/>
    </xf>
    <xf numFmtId="17" fontId="2" fillId="0" borderId="2" xfId="1" applyNumberFormat="1" applyFont="1" applyBorder="1" applyAlignment="1">
      <alignment horizontal="center" wrapText="1"/>
    </xf>
    <xf numFmtId="43" fontId="2" fillId="0" borderId="0" xfId="1" applyFont="1" applyAlignment="1">
      <alignment horizontal="center" vertical="top" wrapText="1"/>
    </xf>
    <xf numFmtId="43" fontId="2" fillId="0" borderId="0" xfId="1" quotePrefix="1" applyFont="1" applyAlignment="1">
      <alignment horizontal="center" vertical="top" wrapText="1"/>
    </xf>
    <xf numFmtId="0" fontId="1" fillId="0" borderId="0" xfId="2"/>
    <xf numFmtId="0" fontId="11" fillId="0" borderId="0" xfId="2" applyFont="1" applyAlignment="1">
      <alignment vertical="top"/>
    </xf>
    <xf numFmtId="0" fontId="11" fillId="0" borderId="0" xfId="2" applyFont="1" applyAlignment="1">
      <alignment vertical="top" wrapText="1"/>
    </xf>
    <xf numFmtId="0" fontId="12" fillId="0" borderId="0" xfId="2" applyFont="1" applyAlignment="1">
      <alignment vertical="top"/>
    </xf>
    <xf numFmtId="0" fontId="13" fillId="0" borderId="2" xfId="2" applyFont="1" applyBorder="1" applyAlignment="1">
      <alignment vertical="top"/>
    </xf>
    <xf numFmtId="0" fontId="13" fillId="0" borderId="0" xfId="2" applyFont="1" applyAlignment="1">
      <alignment vertical="top"/>
    </xf>
    <xf numFmtId="0" fontId="13" fillId="0" borderId="4" xfId="2" applyFont="1" applyBorder="1" applyAlignment="1">
      <alignment vertical="top"/>
    </xf>
    <xf numFmtId="0" fontId="16" fillId="0" borderId="0" xfId="2" applyFont="1" applyAlignment="1">
      <alignment vertical="top"/>
    </xf>
    <xf numFmtId="0" fontId="11" fillId="0" borderId="5" xfId="2" applyFont="1" applyBorder="1" applyAlignment="1">
      <alignment vertical="top"/>
    </xf>
    <xf numFmtId="0" fontId="12" fillId="0" borderId="5" xfId="6" applyFont="1" applyBorder="1" applyAlignment="1">
      <alignment horizontal="center" vertical="top" wrapText="1"/>
    </xf>
    <xf numFmtId="0" fontId="13" fillId="0" borderId="5" xfId="2" applyFont="1" applyBorder="1" applyAlignment="1">
      <alignment vertical="top"/>
    </xf>
    <xf numFmtId="0" fontId="12" fillId="0" borderId="0" xfId="6" applyFont="1" applyAlignment="1">
      <alignment vertical="top" wrapText="1"/>
    </xf>
    <xf numFmtId="0" fontId="12" fillId="0" borderId="5" xfId="6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39" fontId="2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left"/>
    </xf>
    <xf numFmtId="0" fontId="20" fillId="0" borderId="0" xfId="2" applyFont="1"/>
    <xf numFmtId="17" fontId="2" fillId="0" borderId="2" xfId="1" quotePrefix="1" applyNumberFormat="1" applyFont="1" applyBorder="1" applyAlignment="1">
      <alignment horizontal="center" wrapText="1"/>
    </xf>
    <xf numFmtId="165" fontId="2" fillId="0" borderId="2" xfId="3" applyNumberFormat="1" applyFont="1" applyBorder="1" applyAlignment="1">
      <alignment horizontal="center" wrapText="1"/>
    </xf>
    <xf numFmtId="165" fontId="2" fillId="0" borderId="2" xfId="1" applyNumberFormat="1" applyFont="1" applyBorder="1" applyAlignment="1">
      <alignment horizontal="center" wrapText="1"/>
    </xf>
    <xf numFmtId="43" fontId="6" fillId="0" borderId="0" xfId="1" applyFont="1" applyAlignment="1">
      <alignment horizontal="right" vertical="center" wrapText="1"/>
    </xf>
    <xf numFmtId="43" fontId="6" fillId="0" borderId="0" xfId="1" applyFont="1" applyAlignment="1">
      <alignment horizontal="center" vertical="center" wrapText="1"/>
    </xf>
    <xf numFmtId="43" fontId="2" fillId="0" borderId="0" xfId="1" applyFont="1" applyAlignment="1">
      <alignment horizontal="center" vertical="center" wrapText="1"/>
    </xf>
    <xf numFmtId="43" fontId="2" fillId="0" borderId="0" xfId="1" quotePrefix="1" applyFont="1" applyAlignment="1">
      <alignment horizontal="center" vertical="center" wrapText="1"/>
    </xf>
    <xf numFmtId="43" fontId="6" fillId="0" borderId="0" xfId="1" quotePrefix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7" fontId="6" fillId="0" borderId="0" xfId="1" applyNumberFormat="1" applyFont="1" applyBorder="1" applyAlignment="1">
      <alignment horizontal="right"/>
    </xf>
    <xf numFmtId="0" fontId="13" fillId="0" borderId="5" xfId="2" applyFont="1" applyBorder="1" applyAlignment="1">
      <alignment horizontal="left" vertical="top"/>
    </xf>
    <xf numFmtId="166" fontId="13" fillId="0" borderId="5" xfId="2" applyNumberFormat="1" applyFont="1" applyBorder="1" applyAlignment="1">
      <alignment horizontal="left" vertical="top"/>
    </xf>
    <xf numFmtId="4" fontId="2" fillId="0" borderId="0" xfId="1" applyNumberFormat="1" applyFont="1" applyFill="1" applyAlignment="1">
      <alignment horizontal="right" vertical="center"/>
    </xf>
    <xf numFmtId="4" fontId="2" fillId="0" borderId="0" xfId="1" applyNumberFormat="1" applyFont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4" fontId="6" fillId="0" borderId="3" xfId="1" applyNumberFormat="1" applyFont="1" applyBorder="1" applyAlignment="1">
      <alignment horizontal="right"/>
    </xf>
    <xf numFmtId="4" fontId="6" fillId="0" borderId="0" xfId="1" applyNumberFormat="1" applyFont="1" applyAlignment="1">
      <alignment horizontal="right" vertical="center" wrapText="1"/>
    </xf>
    <xf numFmtId="4" fontId="6" fillId="0" borderId="1" xfId="0" applyNumberFormat="1" applyFont="1" applyBorder="1" applyAlignment="1">
      <alignment horizontal="right"/>
    </xf>
    <xf numFmtId="0" fontId="14" fillId="0" borderId="5" xfId="6" applyFont="1" applyBorder="1" applyAlignment="1">
      <alignment horizontal="center" vertical="center"/>
    </xf>
    <xf numFmtId="4" fontId="6" fillId="0" borderId="0" xfId="1" quotePrefix="1" applyNumberFormat="1" applyFont="1" applyAlignment="1">
      <alignment horizontal="right" vertical="center" wrapText="1"/>
    </xf>
    <xf numFmtId="4" fontId="6" fillId="0" borderId="0" xfId="1" quotePrefix="1" applyNumberFormat="1" applyFont="1" applyAlignment="1">
      <alignment horizontal="right" vertical="center"/>
    </xf>
    <xf numFmtId="168" fontId="2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14" fillId="0" borderId="6" xfId="6" applyFont="1" applyBorder="1" applyAlignment="1">
      <alignment horizontal="left" vertical="center"/>
    </xf>
    <xf numFmtId="0" fontId="14" fillId="0" borderId="7" xfId="6" applyFont="1" applyBorder="1" applyAlignment="1">
      <alignment horizontal="left" vertical="center"/>
    </xf>
    <xf numFmtId="0" fontId="12" fillId="0" borderId="0" xfId="6" applyFont="1" applyAlignment="1">
      <alignment horizontal="left" vertical="top" wrapText="1"/>
    </xf>
    <xf numFmtId="0" fontId="12" fillId="0" borderId="5" xfId="6" applyFont="1" applyBorder="1" applyAlignment="1">
      <alignment horizontal="center" vertical="center" wrapText="1"/>
    </xf>
    <xf numFmtId="0" fontId="11" fillId="2" borderId="6" xfId="2" applyFont="1" applyFill="1" applyBorder="1" applyAlignment="1">
      <alignment horizontal="left" vertical="top"/>
    </xf>
    <xf numFmtId="0" fontId="11" fillId="2" borderId="4" xfId="2" applyFont="1" applyFill="1" applyBorder="1" applyAlignment="1">
      <alignment horizontal="left" vertical="top"/>
    </xf>
    <xf numFmtId="0" fontId="11" fillId="2" borderId="7" xfId="2" applyFont="1" applyFill="1" applyBorder="1" applyAlignment="1">
      <alignment horizontal="left" vertical="top"/>
    </xf>
  </cellXfs>
  <cellStyles count="9">
    <cellStyle name="Comma" xfId="1" builtinId="3"/>
    <cellStyle name="Comma 2" xfId="4" xr:uid="{00000000-0005-0000-0000-000001000000}"/>
    <cellStyle name="Comma 3" xfId="8" xr:uid="{00000000-0005-0000-0000-000002000000}"/>
    <cellStyle name="Comma 4" xfId="3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 4" xfId="2" xr:uid="{00000000-0005-0000-0000-000007000000}"/>
    <cellStyle name="Normal_Annex_A.2" xfId="6" xr:uid="{00000000-0005-0000-0000-000008000000}"/>
  </cellStyles>
  <dxfs count="2"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5"/>
  <sheetViews>
    <sheetView tabSelected="1" view="pageBreakPreview" topLeftCell="A7" zoomScaleNormal="100" zoomScaleSheetLayoutView="100" workbookViewId="0">
      <selection activeCell="H16" sqref="H16"/>
    </sheetView>
  </sheetViews>
  <sheetFormatPr defaultRowHeight="12.75" x14ac:dyDescent="0.2"/>
  <cols>
    <col min="1" max="2" width="18.7109375" customWidth="1"/>
    <col min="3" max="3" width="21.42578125" customWidth="1"/>
    <col min="4" max="4" width="27.5703125" customWidth="1"/>
    <col min="5" max="5" width="18.7109375" customWidth="1"/>
    <col min="6" max="6" width="25.85546875" customWidth="1"/>
    <col min="7" max="8" width="18.7109375" customWidth="1"/>
    <col min="9" max="9" width="28.7109375" customWidth="1"/>
    <col min="10" max="10" width="13.28515625" bestFit="1" customWidth="1"/>
    <col min="11" max="11" width="15" bestFit="1" customWidth="1"/>
  </cols>
  <sheetData>
    <row r="1" spans="1:16" s="17" customFormat="1" ht="18" customHeight="1" x14ac:dyDescent="0.25">
      <c r="A1" s="22" t="s">
        <v>39</v>
      </c>
    </row>
    <row r="2" spans="1:16" s="17" customFormat="1" ht="18" customHeight="1" x14ac:dyDescent="0.25">
      <c r="A2" s="22" t="s">
        <v>74</v>
      </c>
      <c r="E2" s="20" t="s">
        <v>66</v>
      </c>
      <c r="F2" s="20"/>
      <c r="G2" s="20"/>
    </row>
    <row r="3" spans="1:16" s="17" customFormat="1" ht="18" customHeight="1" x14ac:dyDescent="0.25">
      <c r="A3" s="22" t="s">
        <v>49</v>
      </c>
      <c r="E3" s="20" t="s">
        <v>59</v>
      </c>
      <c r="F3" s="20"/>
      <c r="G3" s="20"/>
    </row>
    <row r="4" spans="1:16" s="17" customFormat="1" ht="18" customHeight="1" x14ac:dyDescent="0.25">
      <c r="A4" s="22" t="s">
        <v>14</v>
      </c>
      <c r="E4" s="20" t="s">
        <v>60</v>
      </c>
      <c r="F4" s="20"/>
      <c r="G4" s="20"/>
    </row>
    <row r="5" spans="1:16" s="17" customFormat="1" ht="18" customHeight="1" x14ac:dyDescent="0.2"/>
    <row r="6" spans="1:16" s="17" customFormat="1" ht="18" customHeight="1" x14ac:dyDescent="0.25">
      <c r="A6" s="24" t="s">
        <v>0</v>
      </c>
    </row>
    <row r="7" spans="1:16" ht="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6.25" x14ac:dyDescent="0.25">
      <c r="A8" s="2" t="s">
        <v>36</v>
      </c>
      <c r="B8" s="2" t="s">
        <v>38</v>
      </c>
      <c r="C8" s="3" t="s">
        <v>41</v>
      </c>
      <c r="D8" s="3" t="s">
        <v>40</v>
      </c>
      <c r="E8" s="3" t="s">
        <v>13</v>
      </c>
      <c r="F8" s="3" t="s">
        <v>1</v>
      </c>
      <c r="G8" s="3" t="s">
        <v>57</v>
      </c>
      <c r="H8" s="3" t="s">
        <v>58</v>
      </c>
      <c r="I8" s="3" t="s">
        <v>2</v>
      </c>
      <c r="J8" s="1"/>
      <c r="K8" s="1"/>
      <c r="L8" s="1"/>
      <c r="M8" s="1"/>
      <c r="N8" s="1"/>
      <c r="O8" s="1"/>
      <c r="P8" s="1"/>
    </row>
    <row r="9" spans="1:16" ht="26.25" x14ac:dyDescent="0.25">
      <c r="A9" s="42" t="s">
        <v>37</v>
      </c>
      <c r="B9" s="4"/>
      <c r="C9" s="5"/>
      <c r="D9" s="5"/>
      <c r="E9" s="48" t="s">
        <v>70</v>
      </c>
      <c r="F9" s="48" t="s">
        <v>70</v>
      </c>
      <c r="G9" s="48" t="s">
        <v>70</v>
      </c>
      <c r="H9" s="46" t="s">
        <v>66</v>
      </c>
      <c r="I9" s="26" t="s">
        <v>66</v>
      </c>
      <c r="J9" s="1"/>
      <c r="K9" s="1"/>
      <c r="L9" s="1"/>
      <c r="M9" s="1"/>
      <c r="N9" s="1"/>
      <c r="O9" s="1"/>
      <c r="P9" s="1"/>
    </row>
    <row r="10" spans="1:16" ht="15" x14ac:dyDescent="0.25">
      <c r="A10" s="6"/>
      <c r="B10" s="6"/>
      <c r="C10" s="7"/>
      <c r="D10" s="7"/>
      <c r="E10" s="8" t="s">
        <v>3</v>
      </c>
      <c r="F10" s="8" t="s">
        <v>4</v>
      </c>
      <c r="G10" s="9" t="s">
        <v>5</v>
      </c>
      <c r="H10" s="8" t="s">
        <v>6</v>
      </c>
      <c r="I10" s="9" t="s">
        <v>7</v>
      </c>
      <c r="J10" s="1"/>
      <c r="K10" s="1"/>
      <c r="L10" s="1"/>
      <c r="M10" s="1"/>
      <c r="N10" s="1"/>
      <c r="O10" s="1"/>
      <c r="P10" s="1"/>
    </row>
    <row r="11" spans="1:16" ht="15" x14ac:dyDescent="0.25">
      <c r="A11" s="10"/>
      <c r="B11" s="54" t="s">
        <v>76</v>
      </c>
      <c r="C11" s="58" t="s">
        <v>78</v>
      </c>
      <c r="D11" s="58" t="s">
        <v>77</v>
      </c>
      <c r="E11" s="59" t="s">
        <v>79</v>
      </c>
      <c r="F11" s="59" t="s">
        <v>79</v>
      </c>
      <c r="G11" s="65" t="e">
        <f>E11-F11</f>
        <v>#VALUE!</v>
      </c>
      <c r="H11" s="59" t="s">
        <v>80</v>
      </c>
      <c r="I11" s="65" t="e">
        <f>H11-G11</f>
        <v>#VALUE!</v>
      </c>
      <c r="J11" s="13"/>
      <c r="K11" s="14"/>
      <c r="L11" s="14"/>
      <c r="M11" s="1"/>
      <c r="N11" s="1"/>
      <c r="O11" s="1"/>
      <c r="P11" s="14"/>
    </row>
    <row r="12" spans="1:16" ht="15" x14ac:dyDescent="0.25">
      <c r="A12" s="10"/>
      <c r="B12" s="54" t="s">
        <v>81</v>
      </c>
      <c r="C12" s="58" t="s">
        <v>78</v>
      </c>
      <c r="D12" s="58" t="s">
        <v>77</v>
      </c>
      <c r="E12" s="59" t="s">
        <v>79</v>
      </c>
      <c r="F12" s="59" t="s">
        <v>79</v>
      </c>
      <c r="G12" s="65" t="e">
        <f t="shared" ref="G12:G15" si="0">E12-F12</f>
        <v>#VALUE!</v>
      </c>
      <c r="H12" s="59" t="s">
        <v>80</v>
      </c>
      <c r="I12" s="65" t="e">
        <f t="shared" ref="I12:I15" si="1">H12-G12</f>
        <v>#VALUE!</v>
      </c>
      <c r="J12" s="13"/>
      <c r="K12" s="14"/>
      <c r="L12" s="14"/>
      <c r="M12" s="1"/>
      <c r="N12" s="1"/>
      <c r="O12" s="1"/>
      <c r="P12" s="14"/>
    </row>
    <row r="13" spans="1:16" ht="25.5" x14ac:dyDescent="0.25">
      <c r="A13" s="10"/>
      <c r="B13" s="54" t="s">
        <v>82</v>
      </c>
      <c r="C13" s="58" t="s">
        <v>84</v>
      </c>
      <c r="D13" s="58" t="s">
        <v>83</v>
      </c>
      <c r="E13" s="59" t="s">
        <v>85</v>
      </c>
      <c r="F13" s="59" t="s">
        <v>85</v>
      </c>
      <c r="G13" s="65" t="e">
        <f t="shared" si="0"/>
        <v>#VALUE!</v>
      </c>
      <c r="H13" s="59" t="s">
        <v>86</v>
      </c>
      <c r="I13" s="65" t="e">
        <f t="shared" si="1"/>
        <v>#VALUE!</v>
      </c>
      <c r="J13" s="13"/>
      <c r="K13" s="14"/>
      <c r="L13" s="14"/>
      <c r="M13" s="1"/>
      <c r="N13" s="1"/>
      <c r="O13" s="1"/>
      <c r="P13" s="14"/>
    </row>
    <row r="14" spans="1:16" ht="15" x14ac:dyDescent="0.25">
      <c r="A14" s="10"/>
      <c r="B14" s="54" t="s">
        <v>87</v>
      </c>
      <c r="C14" s="58" t="s">
        <v>78</v>
      </c>
      <c r="D14" s="58" t="s">
        <v>77</v>
      </c>
      <c r="E14" s="59" t="s">
        <v>79</v>
      </c>
      <c r="F14" s="59" t="s">
        <v>79</v>
      </c>
      <c r="G14" s="65" t="e">
        <f t="shared" si="0"/>
        <v>#VALUE!</v>
      </c>
      <c r="H14" s="59" t="s">
        <v>80</v>
      </c>
      <c r="I14" s="65" t="e">
        <f t="shared" si="1"/>
        <v>#VALUE!</v>
      </c>
      <c r="J14" s="13"/>
      <c r="K14" s="14"/>
      <c r="L14" s="14"/>
      <c r="M14" s="1"/>
      <c r="N14" s="1"/>
      <c r="O14" s="1"/>
      <c r="P14" s="14"/>
    </row>
    <row r="15" spans="1:16" ht="25.5" x14ac:dyDescent="0.25">
      <c r="A15" s="10"/>
      <c r="B15" s="54" t="s">
        <v>88</v>
      </c>
      <c r="C15" s="58" t="s">
        <v>78</v>
      </c>
      <c r="D15" s="58" t="s">
        <v>77</v>
      </c>
      <c r="E15" s="59" t="s">
        <v>79</v>
      </c>
      <c r="F15" s="59" t="s">
        <v>79</v>
      </c>
      <c r="G15" s="66" t="e">
        <f t="shared" si="0"/>
        <v>#VALUE!</v>
      </c>
      <c r="H15" s="59" t="s">
        <v>80</v>
      </c>
      <c r="I15" s="66" t="e">
        <f t="shared" si="1"/>
        <v>#VALUE!</v>
      </c>
      <c r="J15" s="13"/>
      <c r="K15" s="14"/>
      <c r="L15" s="14"/>
      <c r="M15" s="1"/>
      <c r="N15" s="1"/>
      <c r="O15" s="1"/>
      <c r="P15" s="14"/>
    </row>
    <row r="16" spans="1:16" ht="38.25" x14ac:dyDescent="0.25">
      <c r="A16" s="10"/>
      <c r="B16" s="54" t="s">
        <v>97</v>
      </c>
      <c r="C16" s="58" cm="1">
        <f t="array" aca="1" ref="C16" ca="1">SUMPRODUCT(MID(0&amp;B16, LARGE(INDEX(ISNUMBER(--MID(B16, ROW(INDIRECT("1:"&amp;LEN(B16))), 1)) * ROW(INDIRECT("1:"&amp;LEN(B16))), 0), ROW(INDIRECT("1:"&amp;LEN(B16))))+1, 1) * 10^ROW(INDIRECT("1:"&amp;LEN(B16)))/10)%*SUM(C11:C14)</f>
        <v>0</v>
      </c>
      <c r="D16" s="58" cm="1">
        <f t="array" aca="1" ref="D16" ca="1">SUMPRODUCT(MID(0&amp;B16, LARGE(INDEX(ISNUMBER(--MID(B16, ROW(INDIRECT("1:"&amp;LEN(B16))), 1)) * ROW(INDIRECT("1:"&amp;LEN(B16))), 0), ROW(INDIRECT("1:"&amp;LEN(B16))))+1, 1) * 10^ROW(INDIRECT("1:"&amp;LEN(B16)))/10)%*SUM(D11:D14)</f>
        <v>0</v>
      </c>
      <c r="E16" s="59" cm="1">
        <f t="array" aca="1" ref="E16" ca="1">SUMPRODUCT(MID(0&amp;B16, LARGE(INDEX(ISNUMBER(--MID(B16, ROW(INDIRECT("1:"&amp;LEN(B16))), 1)) * ROW(INDIRECT("1:"&amp;LEN(B16))), 0), ROW(INDIRECT("1:"&amp;LEN(B16))))+1, 1) * 10^ROW(INDIRECT("1:"&amp;LEN(B16)))/10)%*SUM(E11:E14)</f>
        <v>0</v>
      </c>
      <c r="F16" s="59" cm="1">
        <f t="array" aca="1" ref="F16" ca="1">SUMPRODUCT(MID(0&amp;B16, LARGE(INDEX(ISNUMBER(--MID(B16, ROW(INDIRECT("1:"&amp;LEN(B16))), 1)) * ROW(INDIRECT("1:"&amp;LEN(B16))), 0), ROW(INDIRECT("1:"&amp;LEN(B16))))+1, 1) * 10^ROW(INDIRECT("1:"&amp;LEN(B16)))/10)%*SUM(F11:F14)</f>
        <v>0</v>
      </c>
      <c r="G16" s="59" t="e" cm="1">
        <f t="array" aca="1" ref="G16" ca="1">SUMPRODUCT(MID(0&amp;B16, LARGE(INDEX(ISNUMBER(--MID(B16, ROW(INDIRECT("1:"&amp;LEN(B16))), 1)) * ROW(INDIRECT("1:"&amp;LEN(B16))), 0), ROW(INDIRECT("1:"&amp;LEN(B16))))+1, 1) * 10^ROW(INDIRECT("1:"&amp;LEN(B16)))/10)%*SUM(G11:G14)</f>
        <v>#VALUE!</v>
      </c>
      <c r="H16" s="59" cm="1">
        <f t="array" aca="1" ref="H16" ca="1">SUMPRODUCT(MID(0&amp;B16, LARGE(INDEX(ISNUMBER(--MID(B16, ROW(INDIRECT("1:"&amp;LEN(B16))), 1)) * ROW(INDIRECT("1:"&amp;LEN(B16))), 0), ROW(INDIRECT("1:"&amp;LEN(B16))))+1, 1) * 10^ROW(INDIRECT("1:"&amp;LEN(B16)))/10)%*SUM(H11:H14)</f>
        <v>0</v>
      </c>
      <c r="I16" s="65" t="e">
        <f ca="1">H16-G16</f>
        <v>#VALUE!</v>
      </c>
      <c r="J16" s="13"/>
      <c r="K16" s="14"/>
      <c r="L16" s="14"/>
      <c r="M16" s="1"/>
      <c r="N16" s="1"/>
      <c r="O16" s="1"/>
      <c r="P16" s="14"/>
    </row>
    <row r="17" spans="1:16" ht="20.100000000000001" customHeight="1" x14ac:dyDescent="0.25">
      <c r="A17" s="6"/>
      <c r="B17" s="6"/>
      <c r="C17" s="25"/>
      <c r="D17" s="25"/>
      <c r="E17" s="25"/>
      <c r="F17" s="25"/>
      <c r="G17" s="25"/>
      <c r="H17" s="25"/>
      <c r="I17" s="60" t="e">
        <f>SUM(I11:I16)</f>
        <v>#VALUE!</v>
      </c>
      <c r="J17" s="13"/>
      <c r="K17" s="1"/>
      <c r="L17" s="1"/>
      <c r="M17" s="1"/>
      <c r="N17" s="1"/>
      <c r="O17" s="1"/>
      <c r="P17" s="1"/>
    </row>
    <row r="18" spans="1:16" ht="20.100000000000001" customHeight="1" x14ac:dyDescent="0.25">
      <c r="A18" s="6"/>
      <c r="B18" s="6"/>
      <c r="C18" s="6"/>
      <c r="D18" s="6"/>
      <c r="E18" s="6"/>
      <c r="F18" s="6"/>
      <c r="G18" s="6"/>
      <c r="H18" s="43" t="s">
        <v>69</v>
      </c>
      <c r="I18" s="55"/>
      <c r="J18" s="1"/>
      <c r="K18" s="1"/>
      <c r="L18" s="1"/>
      <c r="M18" s="1"/>
      <c r="N18" s="1"/>
      <c r="O18" s="1"/>
      <c r="P18" s="1"/>
    </row>
    <row r="19" spans="1:16" ht="20.100000000000001" customHeight="1" thickBot="1" x14ac:dyDescent="0.3">
      <c r="A19" s="6"/>
      <c r="B19" s="6"/>
      <c r="C19" s="6"/>
      <c r="D19" s="6"/>
      <c r="E19" s="6"/>
      <c r="F19" s="6"/>
      <c r="G19" s="6"/>
      <c r="H19" s="16" t="s">
        <v>8</v>
      </c>
      <c r="I19" s="61" t="e">
        <f>I17-I18</f>
        <v>#VALUE!</v>
      </c>
      <c r="J19" s="1"/>
      <c r="K19" s="1"/>
      <c r="L19" s="1"/>
      <c r="M19" s="1"/>
      <c r="N19" s="1"/>
      <c r="O19" s="1"/>
      <c r="P19" s="1"/>
    </row>
    <row r="20" spans="1:16" ht="15" thickTop="1" x14ac:dyDescent="0.2">
      <c r="A20" s="17"/>
      <c r="B20" s="17"/>
      <c r="C20" s="17"/>
      <c r="D20" s="17"/>
      <c r="E20" s="17"/>
      <c r="F20" s="17"/>
      <c r="G20" s="17"/>
      <c r="H20" s="17"/>
      <c r="I20" s="18"/>
    </row>
    <row r="21" spans="1:16" ht="14.25" x14ac:dyDescent="0.2">
      <c r="A21" s="17"/>
      <c r="B21" s="17"/>
      <c r="C21" s="17"/>
      <c r="D21" s="17"/>
      <c r="E21" s="17"/>
      <c r="F21" s="17"/>
      <c r="G21" s="17"/>
      <c r="H21" s="17"/>
      <c r="I21" s="17"/>
    </row>
    <row r="22" spans="1:16" ht="15" x14ac:dyDescent="0.25">
      <c r="A22" s="19" t="s">
        <v>50</v>
      </c>
      <c r="B22" s="19"/>
      <c r="C22" s="19"/>
      <c r="D22" s="17"/>
      <c r="E22" s="17"/>
      <c r="F22" s="17"/>
      <c r="G22" s="17"/>
      <c r="H22" s="25"/>
      <c r="I22" s="17"/>
    </row>
    <row r="23" spans="1:16" ht="14.25" x14ac:dyDescent="0.2">
      <c r="A23" s="17" t="s">
        <v>51</v>
      </c>
      <c r="B23" s="17"/>
      <c r="C23" s="17"/>
      <c r="D23" s="17"/>
      <c r="E23" s="17"/>
      <c r="F23" s="17"/>
      <c r="G23" s="17"/>
      <c r="H23" s="17"/>
      <c r="I23" s="17"/>
    </row>
    <row r="24" spans="1:16" ht="14.25" x14ac:dyDescent="0.2">
      <c r="A24" s="17" t="s">
        <v>52</v>
      </c>
      <c r="B24" s="17"/>
      <c r="C24" s="17"/>
      <c r="D24" s="17"/>
      <c r="E24" s="17"/>
      <c r="F24" s="17"/>
      <c r="G24" s="17"/>
      <c r="H24" s="17"/>
      <c r="I24" s="17"/>
    </row>
    <row r="25" spans="1:16" ht="14.25" x14ac:dyDescent="0.2">
      <c r="A25" s="17"/>
      <c r="B25" s="17"/>
      <c r="C25" s="17"/>
      <c r="D25" s="17"/>
      <c r="E25" s="17"/>
      <c r="F25" s="17"/>
      <c r="G25" s="17"/>
      <c r="H25" s="17"/>
      <c r="I25" s="17"/>
    </row>
    <row r="26" spans="1:16" ht="14.25" x14ac:dyDescent="0.2">
      <c r="A26" s="17"/>
      <c r="B26" s="17"/>
      <c r="C26" s="17"/>
      <c r="D26" s="17"/>
      <c r="E26" s="17"/>
      <c r="F26" s="17"/>
      <c r="G26" s="17"/>
      <c r="H26" s="17"/>
      <c r="I26" s="17"/>
    </row>
    <row r="27" spans="1:16" ht="20.100000000000001" customHeight="1" x14ac:dyDescent="0.2">
      <c r="A27" s="17"/>
      <c r="B27" s="17"/>
      <c r="C27" s="17"/>
      <c r="D27" s="17"/>
      <c r="E27" s="17"/>
      <c r="F27" s="23"/>
      <c r="G27" s="17"/>
      <c r="H27" s="17"/>
      <c r="I27" s="17"/>
    </row>
    <row r="28" spans="1:16" ht="20.100000000000001" customHeight="1" x14ac:dyDescent="0.2">
      <c r="A28" s="20"/>
      <c r="B28" s="20"/>
      <c r="C28" s="20"/>
      <c r="D28" s="17"/>
      <c r="E28" s="17"/>
      <c r="F28" s="23"/>
      <c r="G28" s="17"/>
      <c r="H28" s="17"/>
      <c r="I28" s="17"/>
    </row>
    <row r="29" spans="1:16" ht="20.100000000000001" customHeight="1" x14ac:dyDescent="0.2">
      <c r="A29" s="17" t="s">
        <v>53</v>
      </c>
      <c r="B29" s="17"/>
      <c r="C29" s="17"/>
      <c r="D29" s="17"/>
      <c r="E29" s="17"/>
      <c r="F29" s="23"/>
      <c r="G29" s="17"/>
      <c r="H29" s="17"/>
      <c r="I29" s="17"/>
    </row>
    <row r="30" spans="1:16" ht="20.100000000000001" customHeight="1" x14ac:dyDescent="0.2">
      <c r="A30" s="17" t="s">
        <v>61</v>
      </c>
      <c r="B30" s="17"/>
      <c r="C30" s="17"/>
      <c r="D30" s="17"/>
      <c r="E30" s="17"/>
      <c r="F30" s="17"/>
      <c r="G30" s="17"/>
      <c r="H30" s="17"/>
      <c r="I30" s="17"/>
    </row>
    <row r="31" spans="1:16" ht="20.100000000000001" customHeight="1" x14ac:dyDescent="0.2">
      <c r="A31" s="17"/>
      <c r="B31" s="17"/>
      <c r="C31" s="17"/>
      <c r="D31" s="17"/>
      <c r="E31" s="17"/>
      <c r="F31" s="17"/>
      <c r="G31" s="17"/>
      <c r="H31" s="17"/>
      <c r="I31" s="17"/>
    </row>
    <row r="32" spans="1:16" ht="20.100000000000001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</row>
    <row r="33" spans="1:9" ht="20.100000000000001" customHeight="1" x14ac:dyDescent="0.2">
      <c r="A33" s="20"/>
      <c r="B33" s="20"/>
      <c r="C33" s="20"/>
      <c r="D33" s="17"/>
      <c r="E33" s="17"/>
      <c r="F33" s="17"/>
      <c r="G33" s="17"/>
      <c r="H33" s="17"/>
      <c r="I33" s="17"/>
    </row>
    <row r="34" spans="1:9" ht="20.100000000000001" customHeight="1" x14ac:dyDescent="0.2">
      <c r="A34" s="17" t="s">
        <v>54</v>
      </c>
      <c r="B34" s="17"/>
      <c r="C34" s="17"/>
      <c r="D34" s="17"/>
      <c r="E34" s="17"/>
      <c r="F34" s="17"/>
      <c r="G34" s="17"/>
      <c r="H34" s="17"/>
      <c r="I34" s="17"/>
    </row>
    <row r="35" spans="1:9" ht="20.100000000000001" customHeight="1" x14ac:dyDescent="0.2">
      <c r="A35" s="17" t="s">
        <v>62</v>
      </c>
      <c r="B35" s="17"/>
      <c r="C35" s="17"/>
      <c r="D35" s="17"/>
      <c r="E35" s="17"/>
      <c r="F35" s="17"/>
      <c r="G35" s="17"/>
      <c r="H35" s="17"/>
      <c r="I35" s="17"/>
    </row>
    <row r="36" spans="1:9" ht="20.100000000000001" customHeight="1" x14ac:dyDescent="0.2">
      <c r="A36" s="17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x14ac:dyDescent="0.2">
      <c r="A37" s="44" t="s">
        <v>73</v>
      </c>
      <c r="B37" s="44"/>
      <c r="C37" s="44"/>
      <c r="D37" s="17"/>
      <c r="E37" s="17"/>
      <c r="F37" s="17"/>
      <c r="G37" s="17"/>
      <c r="H37" s="17"/>
      <c r="I37" s="17"/>
    </row>
    <row r="38" spans="1:9" ht="14.25" x14ac:dyDescent="0.2">
      <c r="A38" s="17"/>
      <c r="B38" s="17"/>
      <c r="C38" s="17"/>
      <c r="D38" s="17"/>
      <c r="E38" s="17"/>
      <c r="F38" s="17"/>
      <c r="G38" s="17"/>
      <c r="H38" s="17"/>
      <c r="I38" s="17"/>
    </row>
    <row r="39" spans="1:9" ht="14.25" x14ac:dyDescent="0.2">
      <c r="A39" s="17" t="s">
        <v>55</v>
      </c>
      <c r="B39" s="17"/>
      <c r="C39" s="17"/>
      <c r="D39" s="17"/>
      <c r="E39" s="17"/>
      <c r="F39" s="17"/>
      <c r="G39" s="17"/>
      <c r="H39" s="17"/>
      <c r="I39" s="17"/>
    </row>
    <row r="40" spans="1:9" ht="14.25" x14ac:dyDescent="0.2">
      <c r="A40" s="21"/>
      <c r="B40" s="21"/>
      <c r="C40" s="21"/>
      <c r="D40" s="17"/>
      <c r="E40" s="17"/>
      <c r="F40" s="17"/>
      <c r="G40" s="17"/>
      <c r="H40" s="17"/>
      <c r="I40" s="17"/>
    </row>
    <row r="41" spans="1:9" ht="15" x14ac:dyDescent="0.25">
      <c r="A41" s="22" t="s">
        <v>9</v>
      </c>
      <c r="B41" s="22"/>
      <c r="C41" s="22"/>
      <c r="D41" s="17"/>
      <c r="E41" s="17"/>
      <c r="F41" s="17"/>
      <c r="G41" s="17"/>
      <c r="H41" s="17"/>
      <c r="I41" s="17"/>
    </row>
    <row r="42" spans="1:9" ht="14.25" x14ac:dyDescent="0.2">
      <c r="A42" s="17"/>
      <c r="B42" s="17"/>
      <c r="C42" s="17"/>
      <c r="D42" s="17"/>
      <c r="E42" s="17"/>
      <c r="F42" s="17"/>
      <c r="G42" s="17"/>
      <c r="H42" s="17"/>
      <c r="I42" s="17"/>
    </row>
    <row r="43" spans="1:9" ht="15" x14ac:dyDescent="0.2">
      <c r="A43" s="68" t="s">
        <v>10</v>
      </c>
      <c r="B43" s="68"/>
      <c r="C43" s="68"/>
      <c r="D43" s="23" t="s">
        <v>63</v>
      </c>
      <c r="E43" s="23"/>
      <c r="F43" s="17"/>
      <c r="G43" s="17"/>
      <c r="H43" s="17"/>
      <c r="I43" s="17"/>
    </row>
    <row r="44" spans="1:9" ht="15" x14ac:dyDescent="0.2">
      <c r="A44" s="68" t="s">
        <v>11</v>
      </c>
      <c r="B44" s="68"/>
      <c r="C44" s="68"/>
      <c r="D44" s="23" t="s">
        <v>64</v>
      </c>
      <c r="E44" s="23"/>
    </row>
    <row r="45" spans="1:9" ht="15" x14ac:dyDescent="0.2">
      <c r="A45" s="68" t="s">
        <v>12</v>
      </c>
      <c r="B45" s="68"/>
      <c r="C45" s="68"/>
      <c r="D45" s="23" t="s">
        <v>65</v>
      </c>
      <c r="E45" s="23"/>
    </row>
  </sheetData>
  <mergeCells count="3">
    <mergeCell ref="A45:C45"/>
    <mergeCell ref="A43:C43"/>
    <mergeCell ref="A44:C44"/>
  </mergeCells>
  <phoneticPr fontId="3" type="noConversion"/>
  <conditionalFormatting sqref="B11:B16">
    <cfRule type="containsBlanks" priority="11">
      <formula>LEN(TRIM(B11))=0</formula>
    </cfRule>
  </conditionalFormatting>
  <conditionalFormatting sqref="C16:D16 F16:G16">
    <cfRule type="containsBlanks" priority="4">
      <formula>LEN(TRIM(C16))=0</formula>
    </cfRule>
  </conditionalFormatting>
  <conditionalFormatting sqref="C15:I15">
    <cfRule type="containsBlanks" priority="1">
      <formula>LEN(TRIM(C15))=0</formula>
    </cfRule>
  </conditionalFormatting>
  <conditionalFormatting sqref="E16">
    <cfRule type="containsBlanks" dxfId="1" priority="3">
      <formula>LEN(TRIM(A16))=0</formula>
    </cfRule>
  </conditionalFormatting>
  <printOptions horizontalCentered="1" verticalCentered="1"/>
  <pageMargins left="0.59055118110236227" right="0.59055118110236227" top="0.39370078740157483" bottom="0.39370078740157483" header="0.39370078740157483" footer="0.39370078740157483"/>
  <pageSetup paperSize="9" scale="66" orientation="landscape" r:id="rId1"/>
  <headerFooter alignWithMargins="0">
    <oddFooter>&amp;RNRF/14 December 2011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48"/>
  <sheetViews>
    <sheetView view="pageBreakPreview" topLeftCell="B9" zoomScaleNormal="100" zoomScaleSheetLayoutView="100" workbookViewId="0">
      <selection activeCell="J18" sqref="J18"/>
    </sheetView>
  </sheetViews>
  <sheetFormatPr defaultRowHeight="12.75" x14ac:dyDescent="0.2"/>
  <cols>
    <col min="1" max="3" width="18.7109375" customWidth="1"/>
    <col min="4" max="4" width="21.42578125" customWidth="1"/>
    <col min="5" max="5" width="21.7109375" customWidth="1"/>
    <col min="6" max="6" width="20.5703125" bestFit="1" customWidth="1"/>
    <col min="7" max="7" width="20.42578125" bestFit="1" customWidth="1"/>
    <col min="8" max="8" width="20.7109375" bestFit="1" customWidth="1"/>
    <col min="9" max="9" width="22.5703125" customWidth="1"/>
    <col min="10" max="10" width="18.7109375" customWidth="1"/>
    <col min="11" max="11" width="13.28515625" bestFit="1" customWidth="1"/>
    <col min="12" max="12" width="15" bestFit="1" customWidth="1"/>
  </cols>
  <sheetData>
    <row r="1" spans="1:17" s="17" customFormat="1" ht="18" customHeight="1" x14ac:dyDescent="0.25">
      <c r="A1" s="22" t="s">
        <v>42</v>
      </c>
    </row>
    <row r="2" spans="1:17" s="17" customFormat="1" ht="18" customHeight="1" x14ac:dyDescent="0.25">
      <c r="A2" s="22" t="s">
        <v>74</v>
      </c>
      <c r="F2" s="20" t="s">
        <v>66</v>
      </c>
      <c r="G2" s="20"/>
      <c r="H2" s="20"/>
    </row>
    <row r="3" spans="1:17" s="17" customFormat="1" ht="18" customHeight="1" x14ac:dyDescent="0.25">
      <c r="A3" s="22" t="s">
        <v>49</v>
      </c>
      <c r="F3" s="20" t="s">
        <v>59</v>
      </c>
      <c r="G3" s="20"/>
      <c r="H3" s="20"/>
    </row>
    <row r="4" spans="1:17" s="17" customFormat="1" ht="18" customHeight="1" x14ac:dyDescent="0.25">
      <c r="A4" s="22" t="s">
        <v>14</v>
      </c>
      <c r="F4" s="20" t="s">
        <v>60</v>
      </c>
      <c r="G4" s="20"/>
      <c r="H4" s="20"/>
    </row>
    <row r="5" spans="1:17" s="17" customFormat="1" ht="18" customHeight="1" x14ac:dyDescent="0.2"/>
    <row r="6" spans="1:17" s="17" customFormat="1" ht="18" customHeight="1" x14ac:dyDescent="0.25">
      <c r="A6" s="24" t="s">
        <v>0</v>
      </c>
    </row>
    <row r="7" spans="1:17" ht="1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64.5" customHeight="1" x14ac:dyDescent="0.25">
      <c r="A8" s="2" t="s">
        <v>38</v>
      </c>
      <c r="B8" s="2" t="s">
        <v>45</v>
      </c>
      <c r="C8" s="2" t="s">
        <v>44</v>
      </c>
      <c r="D8" s="3" t="s">
        <v>43</v>
      </c>
      <c r="E8" s="3" t="s">
        <v>46</v>
      </c>
      <c r="F8" s="3" t="s">
        <v>13</v>
      </c>
      <c r="G8" s="3" t="s">
        <v>1</v>
      </c>
      <c r="H8" s="3" t="s">
        <v>15</v>
      </c>
      <c r="I8" s="3" t="s">
        <v>16</v>
      </c>
      <c r="J8" s="3" t="s">
        <v>17</v>
      </c>
      <c r="K8" s="1"/>
      <c r="L8" s="1"/>
      <c r="M8" s="1"/>
      <c r="N8" s="1"/>
      <c r="O8" s="1"/>
      <c r="P8" s="1"/>
      <c r="Q8" s="1"/>
    </row>
    <row r="9" spans="1:17" ht="22.5" customHeight="1" x14ac:dyDescent="0.25">
      <c r="A9" s="4"/>
      <c r="B9" s="4"/>
      <c r="C9" s="4"/>
      <c r="D9" s="5"/>
      <c r="E9" s="5"/>
      <c r="F9" s="47" t="s">
        <v>70</v>
      </c>
      <c r="G9" s="47" t="s">
        <v>70</v>
      </c>
      <c r="H9" s="47" t="s">
        <v>70</v>
      </c>
      <c r="I9" s="46"/>
      <c r="J9" s="46"/>
      <c r="K9" s="1"/>
      <c r="L9" s="1"/>
      <c r="M9" s="1"/>
      <c r="N9" s="1"/>
      <c r="O9" s="1"/>
      <c r="P9" s="1"/>
      <c r="Q9" s="1"/>
    </row>
    <row r="10" spans="1:17" ht="15" x14ac:dyDescent="0.25">
      <c r="A10" s="6"/>
      <c r="B10" s="6"/>
      <c r="C10" s="6"/>
      <c r="D10" s="7"/>
      <c r="E10" s="7"/>
      <c r="F10" s="8" t="s">
        <v>3</v>
      </c>
      <c r="G10" s="8" t="s">
        <v>4</v>
      </c>
      <c r="H10" s="27" t="s">
        <v>56</v>
      </c>
      <c r="I10" s="27" t="s">
        <v>18</v>
      </c>
      <c r="J10" s="28" t="s">
        <v>19</v>
      </c>
      <c r="K10" s="1"/>
      <c r="L10" s="1"/>
      <c r="M10" s="1"/>
      <c r="N10" s="1"/>
      <c r="O10" s="1"/>
      <c r="P10" s="1"/>
      <c r="Q10" s="1"/>
    </row>
    <row r="11" spans="1:17" ht="15" x14ac:dyDescent="0.25">
      <c r="A11" s="69" t="s">
        <v>75</v>
      </c>
      <c r="B11" s="69"/>
      <c r="C11" s="69"/>
      <c r="D11" s="49"/>
      <c r="E11" s="49"/>
      <c r="F11" s="50"/>
      <c r="G11" s="50"/>
      <c r="H11" s="51"/>
      <c r="I11" s="51"/>
      <c r="J11" s="52"/>
      <c r="K11" s="1"/>
      <c r="L11" s="1"/>
      <c r="M11" s="1"/>
      <c r="N11" s="1"/>
      <c r="O11" s="1"/>
      <c r="P11" s="1"/>
      <c r="Q11" s="1"/>
    </row>
    <row r="12" spans="1:17" ht="15" x14ac:dyDescent="0.25">
      <c r="A12" s="69"/>
      <c r="B12" s="69"/>
      <c r="C12" s="69"/>
      <c r="D12" s="49"/>
      <c r="E12" s="49"/>
      <c r="F12" s="50"/>
      <c r="G12" s="50"/>
      <c r="H12" s="53"/>
      <c r="I12" s="50"/>
      <c r="J12" s="53"/>
      <c r="K12" s="1"/>
      <c r="L12" s="1"/>
      <c r="M12" s="1"/>
      <c r="N12" s="1"/>
      <c r="O12" s="1"/>
      <c r="P12" s="1"/>
      <c r="Q12" s="1"/>
    </row>
    <row r="13" spans="1:17" ht="15" x14ac:dyDescent="0.25">
      <c r="A13" s="54" t="s">
        <v>76</v>
      </c>
      <c r="B13" s="67" t="s">
        <v>95</v>
      </c>
      <c r="C13" s="67" t="s">
        <v>96</v>
      </c>
      <c r="D13" s="58" t="s">
        <v>78</v>
      </c>
      <c r="E13" s="58" t="s">
        <v>77</v>
      </c>
      <c r="F13" s="59" t="s">
        <v>79</v>
      </c>
      <c r="G13" s="59" t="s">
        <v>79</v>
      </c>
      <c r="H13" s="59" t="s">
        <v>80</v>
      </c>
      <c r="I13" s="62" t="e">
        <f>G13+H13</f>
        <v>#VALUE!</v>
      </c>
      <c r="J13" s="62" t="e">
        <f>F13-I13</f>
        <v>#VALUE!</v>
      </c>
      <c r="K13" s="13"/>
      <c r="L13" s="14"/>
      <c r="M13" s="14"/>
      <c r="N13" s="1"/>
      <c r="O13" s="1"/>
      <c r="P13" s="1"/>
      <c r="Q13" s="14"/>
    </row>
    <row r="14" spans="1:17" ht="15" x14ac:dyDescent="0.25">
      <c r="A14" s="54" t="s">
        <v>81</v>
      </c>
      <c r="B14" s="67" t="s">
        <v>95</v>
      </c>
      <c r="C14" s="67" t="s">
        <v>96</v>
      </c>
      <c r="D14" s="58" t="s">
        <v>78</v>
      </c>
      <c r="E14" s="58" t="s">
        <v>77</v>
      </c>
      <c r="F14" s="59" t="s">
        <v>79</v>
      </c>
      <c r="G14" s="59" t="s">
        <v>79</v>
      </c>
      <c r="H14" s="59" t="s">
        <v>80</v>
      </c>
      <c r="I14" s="62" t="e">
        <f>G14+H14</f>
        <v>#VALUE!</v>
      </c>
      <c r="J14" s="62" t="e">
        <f>F14-I14</f>
        <v>#VALUE!</v>
      </c>
      <c r="K14" s="13"/>
      <c r="L14" s="14"/>
      <c r="M14" s="14"/>
      <c r="N14" s="1"/>
      <c r="O14" s="1"/>
      <c r="P14" s="1"/>
      <c r="Q14" s="14"/>
    </row>
    <row r="15" spans="1:17" ht="25.5" x14ac:dyDescent="0.25">
      <c r="A15" s="54" t="s">
        <v>82</v>
      </c>
      <c r="B15" s="67" t="s">
        <v>95</v>
      </c>
      <c r="C15" s="67" t="s">
        <v>96</v>
      </c>
      <c r="D15" s="58" t="s">
        <v>84</v>
      </c>
      <c r="E15" s="58" t="s">
        <v>83</v>
      </c>
      <c r="F15" s="59" t="s">
        <v>85</v>
      </c>
      <c r="G15" s="59" t="s">
        <v>85</v>
      </c>
      <c r="H15" s="59" t="s">
        <v>86</v>
      </c>
      <c r="I15" s="62" t="e">
        <f>G15+H15</f>
        <v>#VALUE!</v>
      </c>
      <c r="J15" s="62" t="e">
        <f>F15-I15</f>
        <v>#VALUE!</v>
      </c>
      <c r="K15" s="13"/>
      <c r="L15" s="14"/>
      <c r="M15" s="14"/>
      <c r="N15" s="1"/>
      <c r="O15" s="1"/>
      <c r="P15" s="1"/>
      <c r="Q15" s="14"/>
    </row>
    <row r="16" spans="1:17" ht="15" x14ac:dyDescent="0.25">
      <c r="A16" s="54" t="s">
        <v>87</v>
      </c>
      <c r="B16" s="67" t="s">
        <v>95</v>
      </c>
      <c r="C16" s="67" t="s">
        <v>96</v>
      </c>
      <c r="D16" s="58" t="s">
        <v>78</v>
      </c>
      <c r="E16" s="58" t="s">
        <v>77</v>
      </c>
      <c r="F16" s="59" t="s">
        <v>79</v>
      </c>
      <c r="G16" s="59" t="s">
        <v>79</v>
      </c>
      <c r="H16" s="59" t="s">
        <v>80</v>
      </c>
      <c r="I16" s="62" t="e">
        <f t="shared" ref="I16" si="0">G16+H16</f>
        <v>#VALUE!</v>
      </c>
      <c r="J16" s="62" t="e">
        <f t="shared" ref="J16:J17" si="1">F16-I16</f>
        <v>#VALUE!</v>
      </c>
      <c r="K16" s="13"/>
      <c r="L16" s="14"/>
      <c r="M16" s="14"/>
      <c r="N16" s="1"/>
      <c r="O16" s="1"/>
      <c r="P16" s="1"/>
      <c r="Q16" s="14"/>
    </row>
    <row r="17" spans="1:17" ht="25.5" x14ac:dyDescent="0.25">
      <c r="A17" s="54" t="s">
        <v>88</v>
      </c>
      <c r="B17" s="67" t="s">
        <v>95</v>
      </c>
      <c r="C17" s="67" t="s">
        <v>96</v>
      </c>
      <c r="D17" s="58" t="s">
        <v>78</v>
      </c>
      <c r="E17" s="58" t="s">
        <v>77</v>
      </c>
      <c r="F17" s="59" t="s">
        <v>79</v>
      </c>
      <c r="G17" s="59" t="s">
        <v>79</v>
      </c>
      <c r="H17" s="59" t="s">
        <v>80</v>
      </c>
      <c r="I17" s="62" t="e">
        <f>G17+H17</f>
        <v>#VALUE!</v>
      </c>
      <c r="J17" s="62" t="e">
        <f t="shared" si="1"/>
        <v>#VALUE!</v>
      </c>
      <c r="K17" s="13"/>
      <c r="L17" s="14"/>
      <c r="M17" s="14"/>
      <c r="N17" s="1"/>
      <c r="O17" s="1"/>
      <c r="P17" s="1"/>
      <c r="Q17" s="14"/>
    </row>
    <row r="18" spans="1:17" ht="38.25" x14ac:dyDescent="0.25">
      <c r="A18" s="54" t="s">
        <v>97</v>
      </c>
      <c r="B18" s="67" t="s">
        <v>95</v>
      </c>
      <c r="C18" s="67" t="s">
        <v>96</v>
      </c>
      <c r="D18" s="58" cm="1">
        <f t="array" aca="1" ref="D18" ca="1">SUMPRODUCT(MID(0&amp;A18, LARGE(INDEX(ISNUMBER(--MID(A18, ROW(INDIRECT("1:"&amp;LEN(A18))), 1)) * ROW(INDIRECT("1:"&amp;LEN(A18))), 0), ROW(INDIRECT("1:"&amp;LEN(A18))))+1, 1) * 10^ROW(INDIRECT("1:"&amp;LEN(A18)))/10)%*SUM(D13:D16)</f>
        <v>0</v>
      </c>
      <c r="E18" s="58" cm="1">
        <f t="array" aca="1" ref="E18" ca="1">SUMPRODUCT(MID(0&amp;A18, LARGE(INDEX(ISNUMBER(--MID(A18, ROW(INDIRECT("1:"&amp;LEN(A18))), 1)) * ROW(INDIRECT("1:"&amp;LEN(A18))), 0), ROW(INDIRECT("1:"&amp;LEN(A18))))+1, 1) * 10^ROW(INDIRECT("1:"&amp;LEN(A18)))/10)%*SUM(E13:E16)</f>
        <v>0</v>
      </c>
      <c r="F18" s="59" cm="1">
        <f t="array" aca="1" ref="F18" ca="1">SUMPRODUCT(MID(0&amp;A18, LARGE(INDEX(ISNUMBER(--MID(A18, ROW(INDIRECT("1:"&amp;LEN(A18))), 1)) * ROW(INDIRECT("1:"&amp;LEN(A18))), 0), ROW(INDIRECT("1:"&amp;LEN(A18))))+1, 1) * 10^ROW(INDIRECT("1:"&amp;LEN(A18)))/10)%*SUM(F13:F16)</f>
        <v>0</v>
      </c>
      <c r="G18" s="59" cm="1">
        <f t="array" aca="1" ref="G18" ca="1">SUMPRODUCT(MID(0&amp;A18, LARGE(INDEX(ISNUMBER(--MID(A18, ROW(INDIRECT("1:"&amp;LEN(A18))), 1)) * ROW(INDIRECT("1:"&amp;LEN(A18))), 0), ROW(INDIRECT("1:"&amp;LEN(A18))))+1, 1) * 10^ROW(INDIRECT("1:"&amp;LEN(A18)))/10)%*SUM(G13:G16)</f>
        <v>0</v>
      </c>
      <c r="H18" s="59" cm="1">
        <f t="array" aca="1" ref="H18" ca="1">SUMPRODUCT(MID(0&amp;A18, LARGE(INDEX(ISNUMBER(--MID(A18, ROW(INDIRECT("1:"&amp;LEN(A18))), 1)) * ROW(INDIRECT("1:"&amp;LEN(A18))), 0), ROW(INDIRECT("1:"&amp;LEN(A18))))+1, 1) * 10^ROW(INDIRECT("1:"&amp;LEN(A18)))/10)%*SUM(H13:H16)</f>
        <v>0</v>
      </c>
      <c r="I18" s="59" t="e" cm="1">
        <f t="array" aca="1" ref="I18" ca="1">SUMPRODUCT(MID(0&amp;A18, LARGE(INDEX(ISNUMBER(--MID(A18, ROW(INDIRECT("1:"&amp;LEN(A18))), 1)) * ROW(INDIRECT("1:"&amp;LEN(A18))), 0), ROW(INDIRECT("1:"&amp;LEN(A18))))+1, 1) * 10^ROW(INDIRECT("1:"&amp;LEN(A18)))/10)%*SUM(I13:I16)</f>
        <v>#VALUE!</v>
      </c>
      <c r="J18" s="62" t="e">
        <f ca="1">F18-I18</f>
        <v>#VALUE!</v>
      </c>
      <c r="K18" s="13"/>
      <c r="L18" s="14"/>
      <c r="M18" s="14"/>
      <c r="N18" s="1"/>
      <c r="O18" s="1"/>
      <c r="P18" s="1"/>
      <c r="Q18" s="14"/>
    </row>
    <row r="19" spans="1:17" ht="20.100000000000001" customHeight="1" x14ac:dyDescent="0.25">
      <c r="A19" s="15"/>
      <c r="B19" s="15"/>
      <c r="C19" s="15"/>
      <c r="D19" s="11"/>
      <c r="E19" s="11"/>
      <c r="F19" s="7"/>
      <c r="G19" s="7"/>
      <c r="H19" s="12"/>
      <c r="I19" s="17"/>
      <c r="J19" s="12"/>
      <c r="K19" s="13"/>
      <c r="L19" s="14"/>
      <c r="M19" s="14"/>
      <c r="N19" s="1"/>
      <c r="O19" s="1"/>
      <c r="P19" s="1"/>
      <c r="Q19" s="1"/>
    </row>
    <row r="20" spans="1:17" ht="20.100000000000001" customHeight="1" x14ac:dyDescent="0.25">
      <c r="A20" s="6"/>
      <c r="B20" s="6"/>
      <c r="C20" s="6"/>
      <c r="D20" s="6"/>
      <c r="E20" s="6"/>
      <c r="F20" s="6"/>
      <c r="G20" s="6"/>
      <c r="H20" s="17"/>
      <c r="I20" s="17"/>
      <c r="J20" s="63" t="e">
        <f>SUM(J13:J18)</f>
        <v>#VALUE!</v>
      </c>
      <c r="K20" s="13"/>
      <c r="L20" s="1"/>
      <c r="M20" s="1"/>
      <c r="N20" s="1"/>
      <c r="O20" s="1"/>
      <c r="P20" s="1"/>
      <c r="Q20" s="1"/>
    </row>
    <row r="21" spans="1:17" ht="20.100000000000001" customHeight="1" x14ac:dyDescent="0.25">
      <c r="A21" s="6"/>
      <c r="B21" s="6"/>
      <c r="C21" s="6"/>
      <c r="D21" s="6"/>
      <c r="E21" s="6"/>
      <c r="F21" s="6"/>
      <c r="G21" s="6"/>
      <c r="H21" s="6"/>
      <c r="I21" s="43" t="s">
        <v>69</v>
      </c>
      <c r="J21" s="55"/>
      <c r="K21" s="1"/>
      <c r="L21" s="1"/>
      <c r="M21" s="1"/>
      <c r="N21" s="1"/>
      <c r="O21" s="1"/>
      <c r="P21" s="1"/>
      <c r="Q21" s="1"/>
    </row>
    <row r="22" spans="1:17" ht="20.100000000000001" customHeight="1" thickBot="1" x14ac:dyDescent="0.3">
      <c r="A22" s="6"/>
      <c r="B22" s="6"/>
      <c r="C22" s="6"/>
      <c r="D22" s="6"/>
      <c r="E22" s="6"/>
      <c r="F22" s="6"/>
      <c r="G22" s="6"/>
      <c r="H22" s="6"/>
      <c r="I22" s="16" t="s">
        <v>8</v>
      </c>
      <c r="J22" s="61" t="e">
        <f>J20-J21</f>
        <v>#VALUE!</v>
      </c>
      <c r="K22" s="1"/>
      <c r="L22" s="1"/>
      <c r="M22" s="1"/>
      <c r="N22" s="1"/>
      <c r="O22" s="1"/>
      <c r="P22" s="1"/>
      <c r="Q22" s="1"/>
    </row>
    <row r="23" spans="1:17" ht="15" thickTop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8"/>
    </row>
    <row r="24" spans="1:17" ht="14.25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7" ht="15" x14ac:dyDescent="0.25">
      <c r="A25" s="19" t="s">
        <v>50</v>
      </c>
      <c r="B25" s="19"/>
      <c r="C25" s="19"/>
      <c r="D25" s="19"/>
      <c r="E25" s="19"/>
      <c r="F25" s="17"/>
      <c r="G25" s="17"/>
      <c r="H25" s="17"/>
      <c r="I25" s="25"/>
      <c r="J25" s="17"/>
    </row>
    <row r="26" spans="1:17" ht="14.25" x14ac:dyDescent="0.2">
      <c r="A26" s="17" t="s">
        <v>51</v>
      </c>
      <c r="B26" s="17"/>
      <c r="C26" s="17"/>
      <c r="D26" s="17"/>
      <c r="E26" s="17"/>
      <c r="F26" s="17"/>
      <c r="G26" s="17"/>
      <c r="H26" s="17"/>
      <c r="I26" s="17"/>
      <c r="J26" s="17"/>
    </row>
    <row r="27" spans="1:17" ht="14.25" x14ac:dyDescent="0.2">
      <c r="A27" s="17" t="s">
        <v>52</v>
      </c>
      <c r="B27" s="17"/>
      <c r="C27" s="17"/>
      <c r="D27" s="17"/>
      <c r="E27" s="17"/>
      <c r="F27" s="17"/>
      <c r="G27" s="17"/>
      <c r="H27" s="17"/>
      <c r="I27" s="17"/>
      <c r="J27" s="17"/>
    </row>
    <row r="28" spans="1:17" ht="14.25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7" ht="14.25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spans="1:17" ht="20.100000000000001" customHeight="1" x14ac:dyDescent="0.2">
      <c r="A30" s="17"/>
      <c r="B30" s="17"/>
      <c r="C30" s="17"/>
      <c r="D30" s="17"/>
      <c r="E30" s="17"/>
      <c r="F30" s="17"/>
      <c r="G30" s="23"/>
      <c r="H30" s="17"/>
      <c r="I30" s="17"/>
      <c r="J30" s="17"/>
    </row>
    <row r="31" spans="1:17" ht="20.100000000000001" customHeight="1" x14ac:dyDescent="0.2">
      <c r="A31" s="20"/>
      <c r="B31" s="20"/>
      <c r="C31" s="20"/>
      <c r="D31" s="20"/>
      <c r="E31" s="20"/>
      <c r="F31" s="17"/>
      <c r="G31" s="23"/>
      <c r="H31" s="17"/>
      <c r="I31" s="17"/>
      <c r="J31" s="17"/>
    </row>
    <row r="32" spans="1:17" ht="20.100000000000001" customHeight="1" x14ac:dyDescent="0.2">
      <c r="A32" s="17" t="s">
        <v>53</v>
      </c>
      <c r="B32" s="17"/>
      <c r="C32" s="17"/>
      <c r="D32" s="17"/>
      <c r="E32" s="17"/>
      <c r="F32" s="17"/>
      <c r="G32" s="23"/>
      <c r="H32" s="17"/>
      <c r="I32" s="17"/>
      <c r="J32" s="17"/>
    </row>
    <row r="33" spans="1:10" ht="20.100000000000001" customHeight="1" x14ac:dyDescent="0.2">
      <c r="A33" s="17" t="s">
        <v>61</v>
      </c>
      <c r="B33" s="17"/>
      <c r="C33" s="17"/>
      <c r="D33" s="17"/>
      <c r="E33" s="17"/>
      <c r="F33" s="17"/>
      <c r="G33" s="17"/>
      <c r="H33" s="17"/>
      <c r="I33" s="17"/>
      <c r="J33" s="17"/>
    </row>
    <row r="34" spans="1:10" ht="20.100000000000001" customHeight="1" x14ac:dyDescent="0.2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20.100000000000001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spans="1:10" ht="20.100000000000001" customHeight="1" x14ac:dyDescent="0.2">
      <c r="A36" s="20"/>
      <c r="B36" s="20"/>
      <c r="C36" s="20"/>
      <c r="D36" s="20"/>
      <c r="E36" s="20"/>
      <c r="F36" s="17"/>
      <c r="G36" s="17"/>
      <c r="H36" s="17"/>
      <c r="I36" s="17"/>
      <c r="J36" s="17"/>
    </row>
    <row r="37" spans="1:10" ht="20.100000000000001" customHeight="1" x14ac:dyDescent="0.2">
      <c r="A37" s="17" t="s">
        <v>54</v>
      </c>
      <c r="B37" s="17"/>
      <c r="C37" s="17"/>
      <c r="D37" s="17"/>
      <c r="E37" s="17"/>
      <c r="F37" s="17"/>
      <c r="G37" s="17"/>
      <c r="H37" s="17"/>
      <c r="I37" s="17"/>
      <c r="J37" s="17"/>
    </row>
    <row r="38" spans="1:10" ht="20.100000000000001" customHeight="1" x14ac:dyDescent="0.2">
      <c r="A38" s="17" t="s">
        <v>62</v>
      </c>
      <c r="B38" s="17"/>
      <c r="C38" s="17"/>
      <c r="D38" s="17"/>
      <c r="E38" s="17"/>
      <c r="F38" s="17"/>
      <c r="G38" s="17"/>
      <c r="H38" s="17"/>
      <c r="I38" s="17"/>
      <c r="J38" s="17"/>
    </row>
    <row r="39" spans="1:10" ht="20.100000000000001" customHeight="1" x14ac:dyDescent="0.2">
      <c r="A39" s="17"/>
      <c r="B39" s="17"/>
      <c r="C39" s="17"/>
      <c r="D39" s="17"/>
      <c r="E39" s="17"/>
      <c r="F39" s="17"/>
      <c r="G39" s="17"/>
      <c r="H39" s="17"/>
      <c r="I39" s="17"/>
      <c r="J39" s="17"/>
    </row>
    <row r="40" spans="1:10" ht="20.100000000000001" customHeight="1" x14ac:dyDescent="0.2">
      <c r="A40" s="44" t="s">
        <v>73</v>
      </c>
      <c r="B40" s="44"/>
      <c r="C40" s="44"/>
      <c r="D40" s="44"/>
      <c r="E40" s="44"/>
      <c r="F40" s="17"/>
      <c r="G40" s="17"/>
      <c r="H40" s="17"/>
      <c r="I40" s="17"/>
      <c r="J40" s="17"/>
    </row>
    <row r="41" spans="1:10" ht="14.25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</row>
    <row r="42" spans="1:10" ht="14.25" x14ac:dyDescent="0.2">
      <c r="A42" s="17" t="s">
        <v>55</v>
      </c>
      <c r="B42" s="17"/>
      <c r="C42" s="17"/>
      <c r="D42" s="17"/>
      <c r="E42" s="17"/>
      <c r="F42" s="17"/>
      <c r="G42" s="17"/>
      <c r="H42" s="17"/>
      <c r="I42" s="17"/>
      <c r="J42" s="17"/>
    </row>
    <row r="43" spans="1:10" ht="14.25" x14ac:dyDescent="0.2">
      <c r="A43" s="21"/>
      <c r="B43" s="21"/>
      <c r="C43" s="21"/>
      <c r="D43" s="21"/>
      <c r="E43" s="21"/>
      <c r="F43" s="17"/>
      <c r="G43" s="17"/>
      <c r="H43" s="17"/>
      <c r="I43" s="17"/>
      <c r="J43" s="17"/>
    </row>
    <row r="44" spans="1:10" ht="15" x14ac:dyDescent="0.25">
      <c r="A44" s="22" t="s">
        <v>9</v>
      </c>
      <c r="B44" s="22"/>
      <c r="C44" s="22"/>
      <c r="D44" s="22"/>
      <c r="E44" s="22"/>
      <c r="F44" s="17"/>
      <c r="G44" s="17"/>
      <c r="H44" s="17"/>
      <c r="I44" s="17"/>
      <c r="J44" s="17"/>
    </row>
    <row r="45" spans="1:10" ht="14.25" x14ac:dyDescent="0.2">
      <c r="A45" s="17"/>
      <c r="B45" s="17"/>
      <c r="C45" s="17"/>
      <c r="D45" s="17"/>
      <c r="E45" s="17"/>
      <c r="F45" s="17"/>
      <c r="G45" s="17"/>
      <c r="H45" s="17"/>
      <c r="I45" s="17"/>
      <c r="J45" s="17"/>
    </row>
    <row r="46" spans="1:10" ht="15" x14ac:dyDescent="0.2">
      <c r="A46" s="68" t="s">
        <v>10</v>
      </c>
      <c r="B46" s="68"/>
      <c r="C46" s="68"/>
      <c r="D46" s="68"/>
      <c r="E46" s="68"/>
      <c r="F46" s="23" t="s">
        <v>63</v>
      </c>
      <c r="G46" s="17"/>
      <c r="H46" s="17"/>
      <c r="I46" s="17"/>
      <c r="J46" s="17"/>
    </row>
    <row r="47" spans="1:10" ht="15" x14ac:dyDescent="0.2">
      <c r="A47" s="68" t="s">
        <v>11</v>
      </c>
      <c r="B47" s="68"/>
      <c r="C47" s="68"/>
      <c r="D47" s="68"/>
      <c r="E47" s="68"/>
      <c r="F47" s="23" t="s">
        <v>64</v>
      </c>
    </row>
    <row r="48" spans="1:10" ht="15" x14ac:dyDescent="0.2">
      <c r="A48" s="68" t="s">
        <v>12</v>
      </c>
      <c r="B48" s="68"/>
      <c r="C48" s="68"/>
      <c r="D48" s="68"/>
      <c r="E48" s="68"/>
      <c r="F48" s="23" t="s">
        <v>65</v>
      </c>
    </row>
  </sheetData>
  <mergeCells count="4">
    <mergeCell ref="A48:E48"/>
    <mergeCell ref="A46:E46"/>
    <mergeCell ref="A47:E47"/>
    <mergeCell ref="A11:C12"/>
  </mergeCells>
  <conditionalFormatting sqref="A13:E18 G13:J18">
    <cfRule type="containsBlanks" priority="2">
      <formula>LEN(TRIM(A13))=0</formula>
    </cfRule>
  </conditionalFormatting>
  <conditionalFormatting sqref="F13:F18">
    <cfRule type="containsBlanks" dxfId="0" priority="1">
      <formula>LEN(TRIM(B13))=0</formula>
    </cfRule>
  </conditionalFormatting>
  <printOptions horizontalCentered="1" verticalCentered="1"/>
  <pageMargins left="0.59055118110236227" right="0.59055118110236227" top="0.39370078740157483" bottom="0.39370078740157483" header="0.39370078740157483" footer="0.39370078740157483"/>
  <pageSetup paperSize="9" scale="16" orientation="landscape" r:id="rId1"/>
  <headerFooter alignWithMargins="0">
    <oddFooter>&amp;RNRF/14 December 2011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topLeftCell="A10" zoomScaleNormal="100" workbookViewId="0">
      <selection activeCell="C5" sqref="C5"/>
    </sheetView>
  </sheetViews>
  <sheetFormatPr defaultRowHeight="12.75" x14ac:dyDescent="0.2"/>
  <cols>
    <col min="2" max="2" width="43.42578125" customWidth="1"/>
    <col min="3" max="3" width="35.85546875" customWidth="1"/>
    <col min="4" max="4" width="31.85546875" customWidth="1"/>
    <col min="5" max="5" width="21.42578125" customWidth="1"/>
    <col min="6" max="6" width="17.7109375" customWidth="1"/>
    <col min="7" max="7" width="25.85546875" customWidth="1"/>
    <col min="8" max="8" width="16.85546875" customWidth="1"/>
  </cols>
  <sheetData>
    <row r="1" spans="1:14" ht="15.75" x14ac:dyDescent="0.25">
      <c r="A1" s="32" t="s">
        <v>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3" spans="1:14" ht="15.75" x14ac:dyDescent="0.25">
      <c r="A3" s="30" t="s">
        <v>20</v>
      </c>
      <c r="B3" s="34"/>
      <c r="C3" s="33" t="s">
        <v>66</v>
      </c>
      <c r="D3" s="33"/>
      <c r="E3" s="30"/>
      <c r="F3" s="34"/>
      <c r="G3" s="29"/>
      <c r="H3" s="29"/>
      <c r="I3" s="29"/>
      <c r="J3" s="29"/>
      <c r="K3" s="29"/>
      <c r="L3" s="29"/>
      <c r="M3" s="29"/>
      <c r="N3" s="29"/>
    </row>
    <row r="4" spans="1:14" ht="15.75" x14ac:dyDescent="0.25">
      <c r="A4" s="32"/>
      <c r="B4" s="34"/>
      <c r="C4" s="34"/>
      <c r="D4" s="34"/>
      <c r="E4" s="34"/>
      <c r="F4" s="34"/>
      <c r="G4" s="34"/>
      <c r="H4" s="34"/>
      <c r="I4" s="29"/>
      <c r="J4" s="29"/>
      <c r="K4" s="29"/>
      <c r="L4" s="29"/>
      <c r="M4" s="29"/>
      <c r="N4" s="29"/>
    </row>
    <row r="5" spans="1:14" ht="15" x14ac:dyDescent="0.25">
      <c r="A5" s="22" t="s">
        <v>48</v>
      </c>
      <c r="B5" s="34"/>
      <c r="C5" s="33" t="s">
        <v>59</v>
      </c>
      <c r="D5" s="33"/>
      <c r="E5" s="33"/>
      <c r="F5" s="33"/>
      <c r="G5" s="34"/>
      <c r="H5" s="34"/>
      <c r="I5" s="29"/>
      <c r="J5" s="29"/>
      <c r="K5" s="29"/>
      <c r="L5" s="29"/>
      <c r="M5" s="29"/>
      <c r="N5" s="29"/>
    </row>
    <row r="6" spans="1:14" ht="15" x14ac:dyDescent="0.25">
      <c r="A6" s="22" t="s">
        <v>14</v>
      </c>
      <c r="B6" s="34"/>
      <c r="C6" s="35" t="s">
        <v>60</v>
      </c>
      <c r="D6" s="35"/>
      <c r="E6" s="35"/>
      <c r="F6" s="35"/>
      <c r="G6" s="34"/>
      <c r="H6" s="34"/>
      <c r="I6" s="29"/>
      <c r="J6" s="29"/>
      <c r="K6" s="29"/>
      <c r="L6" s="29"/>
      <c r="M6" s="29"/>
      <c r="N6" s="29"/>
    </row>
    <row r="7" spans="1:14" ht="15.75" x14ac:dyDescent="0.25">
      <c r="A7" s="31"/>
      <c r="B7" s="34"/>
      <c r="C7" s="34"/>
      <c r="D7" s="34"/>
      <c r="E7" s="34"/>
      <c r="F7" s="34"/>
      <c r="G7" s="34"/>
      <c r="H7" s="34"/>
      <c r="I7" s="29"/>
      <c r="J7" s="29"/>
      <c r="K7" s="29"/>
      <c r="L7" s="29"/>
      <c r="M7" s="29"/>
      <c r="N7" s="29"/>
    </row>
    <row r="8" spans="1:14" ht="15.75" x14ac:dyDescent="0.2">
      <c r="A8" s="72" t="s">
        <v>21</v>
      </c>
      <c r="B8" s="72"/>
      <c r="C8" s="72"/>
      <c r="D8" s="72"/>
      <c r="E8" s="72"/>
      <c r="F8" s="72"/>
      <c r="G8" s="72"/>
      <c r="H8" s="40"/>
      <c r="I8" s="40"/>
      <c r="J8" s="40"/>
      <c r="K8" s="40"/>
      <c r="L8" s="40"/>
      <c r="M8" s="40"/>
      <c r="N8" s="40"/>
    </row>
    <row r="9" spans="1:14" ht="15" x14ac:dyDescent="0.25">
      <c r="A9" s="36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4" ht="63" x14ac:dyDescent="0.2">
      <c r="A10" s="37" t="s">
        <v>22</v>
      </c>
      <c r="B10" s="38" t="s">
        <v>23</v>
      </c>
      <c r="C10" s="38" t="s">
        <v>24</v>
      </c>
      <c r="D10" s="38" t="s">
        <v>25</v>
      </c>
      <c r="E10" s="38" t="s">
        <v>26</v>
      </c>
      <c r="F10" s="38" t="s">
        <v>27</v>
      </c>
      <c r="G10" s="38" t="s">
        <v>28</v>
      </c>
      <c r="H10" s="38" t="s">
        <v>29</v>
      </c>
      <c r="I10" s="30"/>
      <c r="J10" s="30"/>
      <c r="K10" s="30"/>
      <c r="L10" s="30"/>
      <c r="M10" s="30"/>
      <c r="N10" s="30"/>
    </row>
    <row r="11" spans="1:14" ht="15.75" x14ac:dyDescent="0.25">
      <c r="A11" s="74" t="s">
        <v>30</v>
      </c>
      <c r="B11" s="75"/>
      <c r="C11" s="75"/>
      <c r="D11" s="75"/>
      <c r="E11" s="75"/>
      <c r="F11" s="75"/>
      <c r="G11" s="75"/>
      <c r="H11" s="75"/>
      <c r="I11" s="29"/>
      <c r="J11" s="29"/>
      <c r="K11" s="29"/>
      <c r="L11" s="29"/>
      <c r="M11" s="29"/>
      <c r="N11" s="29"/>
    </row>
    <row r="12" spans="1:14" ht="27.75" customHeight="1" x14ac:dyDescent="0.25">
      <c r="A12" s="39" t="s">
        <v>67</v>
      </c>
      <c r="B12" s="56" t="s">
        <v>89</v>
      </c>
      <c r="C12" s="56" t="s">
        <v>90</v>
      </c>
      <c r="D12" s="56" t="s">
        <v>60</v>
      </c>
      <c r="E12" s="57" t="s">
        <v>91</v>
      </c>
      <c r="F12" s="57" t="s">
        <v>94</v>
      </c>
      <c r="G12" s="56" t="s">
        <v>92</v>
      </c>
      <c r="H12" s="39" t="s">
        <v>93</v>
      </c>
      <c r="I12" s="29"/>
      <c r="J12" s="29"/>
      <c r="K12" s="29"/>
      <c r="L12" s="29"/>
      <c r="M12" s="29"/>
      <c r="N12" s="29"/>
    </row>
    <row r="13" spans="1:14" ht="15" x14ac:dyDescent="0.25">
      <c r="A13" s="39"/>
      <c r="B13" s="39"/>
      <c r="C13" s="39"/>
      <c r="D13" s="39"/>
      <c r="E13" s="39"/>
      <c r="F13" s="39"/>
      <c r="G13" s="39"/>
      <c r="H13" s="39"/>
      <c r="I13" s="29"/>
      <c r="J13" s="29"/>
      <c r="K13" s="29"/>
      <c r="L13" s="29"/>
      <c r="M13" s="29"/>
      <c r="N13" s="29"/>
    </row>
    <row r="14" spans="1:14" ht="15" x14ac:dyDescent="0.2">
      <c r="A14" s="39"/>
      <c r="B14" s="39"/>
      <c r="C14" s="39"/>
      <c r="D14" s="39"/>
      <c r="E14" s="39"/>
      <c r="F14" s="39"/>
      <c r="G14" s="39"/>
      <c r="H14" s="39"/>
    </row>
    <row r="15" spans="1:14" ht="15.75" x14ac:dyDescent="0.2">
      <c r="A15" s="74" t="s">
        <v>31</v>
      </c>
      <c r="B15" s="75"/>
      <c r="C15" s="75"/>
      <c r="D15" s="75"/>
      <c r="E15" s="75"/>
      <c r="F15" s="75"/>
      <c r="G15" s="75"/>
      <c r="H15" s="75"/>
    </row>
    <row r="16" spans="1:14" ht="15" x14ac:dyDescent="0.2">
      <c r="A16" s="39" t="s">
        <v>67</v>
      </c>
      <c r="B16" s="56" t="s">
        <v>89</v>
      </c>
      <c r="C16" s="56" t="s">
        <v>90</v>
      </c>
      <c r="D16" s="56" t="s">
        <v>60</v>
      </c>
      <c r="E16" s="57" t="s">
        <v>91</v>
      </c>
      <c r="F16" s="57" t="s">
        <v>94</v>
      </c>
      <c r="G16" s="56" t="s">
        <v>92</v>
      </c>
      <c r="H16" s="39" t="s">
        <v>93</v>
      </c>
    </row>
    <row r="17" spans="1:8" ht="15" x14ac:dyDescent="0.2">
      <c r="A17" s="39"/>
      <c r="B17" s="39"/>
      <c r="C17" s="39"/>
      <c r="D17" s="39"/>
      <c r="E17" s="39"/>
      <c r="F17" s="39"/>
      <c r="G17" s="39"/>
      <c r="H17" s="39"/>
    </row>
    <row r="19" spans="1:8" ht="15.75" x14ac:dyDescent="0.25">
      <c r="A19" s="74" t="s">
        <v>32</v>
      </c>
      <c r="B19" s="75"/>
      <c r="C19" s="75"/>
      <c r="D19" s="76"/>
      <c r="E19" s="45" t="s">
        <v>68</v>
      </c>
      <c r="F19" s="29"/>
      <c r="G19" s="29"/>
      <c r="H19" s="29"/>
    </row>
    <row r="20" spans="1:8" ht="15.75" x14ac:dyDescent="0.25">
      <c r="A20" s="73" t="s">
        <v>33</v>
      </c>
      <c r="B20" s="73"/>
      <c r="C20" s="41" t="s">
        <v>34</v>
      </c>
      <c r="D20" s="41" t="s">
        <v>35</v>
      </c>
      <c r="E20" s="29"/>
      <c r="F20" s="29"/>
      <c r="G20" s="29"/>
      <c r="H20" s="29"/>
    </row>
    <row r="21" spans="1:8" ht="15" x14ac:dyDescent="0.25">
      <c r="A21" s="70" t="s">
        <v>71</v>
      </c>
      <c r="B21" s="71"/>
      <c r="C21" s="64" t="s">
        <v>72</v>
      </c>
      <c r="D21" s="64">
        <f>COUNTIF(C12:C13, A21)</f>
        <v>0</v>
      </c>
      <c r="E21" s="29"/>
      <c r="F21" s="29"/>
      <c r="G21" s="29"/>
      <c r="H21" s="29"/>
    </row>
  </sheetData>
  <mergeCells count="6">
    <mergeCell ref="A21:B21"/>
    <mergeCell ref="A8:G8"/>
    <mergeCell ref="A20:B20"/>
    <mergeCell ref="A19:D19"/>
    <mergeCell ref="A11:H11"/>
    <mergeCell ref="A15:H1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F1D0BBB7606D49BA8D9E4376F3E4C2" ma:contentTypeVersion="12" ma:contentTypeDescription="Create a new document." ma:contentTypeScope="" ma:versionID="be260bd93d4bae9a9895123fe7964adf">
  <xsd:schema xmlns:xsd="http://www.w3.org/2001/XMLSchema" xmlns:xs="http://www.w3.org/2001/XMLSchema" xmlns:p="http://schemas.microsoft.com/office/2006/metadata/properties" xmlns:ns2="787c1d3c-cbfd-41c9-a7b1-f0c6f1ecb0ca" xmlns:ns3="fb35db46-6e83-44d9-a6c1-dd79dfbfdcf6" targetNamespace="http://schemas.microsoft.com/office/2006/metadata/properties" ma:root="true" ma:fieldsID="082a01cae99a110f460912a12ef8fb8e" ns2:_="" ns3:_="">
    <xsd:import namespace="787c1d3c-cbfd-41c9-a7b1-f0c6f1ecb0ca"/>
    <xsd:import namespace="fb35db46-6e83-44d9-a6c1-dd79dfbfdc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c1d3c-cbfd-41c9-a7b1-f0c6f1ecb0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5db46-6e83-44d9-a6c1-dd79dfbfdcf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D3A70A-3BE6-4F01-891B-DBAD034A7C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7c1d3c-cbfd-41c9-a7b1-f0c6f1ecb0ca"/>
    <ds:schemaRef ds:uri="fb35db46-6e83-44d9-a6c1-dd79dfbfd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5D4E39-C589-407C-984A-8C730A0CC1F9}">
  <ds:schemaRefs>
    <ds:schemaRef ds:uri="http://purl.org/dc/elements/1.1/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8C0E477-D4F8-4E94-8DC5-3D2FB03ECD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Quarterly Drawdown Template</vt:lpstr>
      <vt:lpstr>Final Statement of Account</vt:lpstr>
      <vt:lpstr>Manpower Update</vt:lpstr>
      <vt:lpstr>'Final Statement of Account'!Print_Area</vt:lpstr>
      <vt:lpstr>'Quarterly Drawdown Template'!Print_Area</vt:lpstr>
    </vt:vector>
  </TitlesOfParts>
  <Company>PMO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</dc:creator>
  <cp:lastModifiedBy>Aswathy Raj</cp:lastModifiedBy>
  <cp:lastPrinted>2014-07-03T09:30:54Z</cp:lastPrinted>
  <dcterms:created xsi:type="dcterms:W3CDTF">2006-12-28T04:19:25Z</dcterms:created>
  <dcterms:modified xsi:type="dcterms:W3CDTF">2023-04-19T07:52:20Z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0x010100BCF1D0BBB7606D49BA8D9E4376F3E4C2</vt:lpwstr>
  </property>
</Properties>
</file>