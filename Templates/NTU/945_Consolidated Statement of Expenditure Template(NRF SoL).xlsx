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wathy.raj\Downloads\Claim templates stage instance\changed templates\"/>
    </mc:Choice>
  </mc:AlternateContent>
  <xr:revisionPtr revIDLastSave="0" documentId="13_ncr:1_{FB164056-49E7-49F1-876D-127D903734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nual Audit for FY 2020" sheetId="12" r:id="rId1"/>
  </sheets>
  <definedNames>
    <definedName name="_xlnm.Print_Area" localSheetId="0">'Annual Audit for FY 2020'!$A$1:$X$30</definedName>
    <definedName name="_xlnm.Print_Titles" localSheetId="0">'Annual Audit for FY 2020'!$A:$F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2" l="1"/>
  <c r="G18" i="12"/>
  <c r="G20" i="12" s="1"/>
  <c r="E20" i="12" l="1"/>
  <c r="E15" i="12" l="1"/>
  <c r="E14" i="12"/>
  <c r="E13" i="12"/>
  <c r="E22" i="12"/>
  <c r="E21" i="12"/>
  <c r="E17" i="12"/>
  <c r="E16" i="12"/>
  <c r="E18" i="12" l="1"/>
  <c r="C18" i="12" l="1"/>
  <c r="D18" i="12" l="1"/>
  <c r="C20" i="12"/>
  <c r="D20" i="12" l="1"/>
  <c r="D22" i="12" s="1"/>
  <c r="C22" i="12"/>
  <c r="G24" i="12"/>
  <c r="E24" i="12" l="1"/>
  <c r="G25" i="12"/>
  <c r="E25" i="12" s="1"/>
  <c r="D24" i="12"/>
  <c r="C2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Vaikunda Raja</author>
  </authors>
  <commentList>
    <comment ref="A1" authorId="0" shapeId="0" xr:uid="{B36FBC2F-0806-47CE-9AC3-73A28D93DFB2}">
      <text>
        <r>
          <rPr>
            <b/>
            <sz val="9"/>
            <color indexed="81"/>
            <rFont val="Tahoma"/>
            <family val="2"/>
          </rPr>
          <t xml:space="preserve">jx:area(lastCell="F12")
</t>
        </r>
      </text>
    </comment>
    <comment ref="G12" authorId="0" shapeId="0" xr:uid="{B932E910-959D-4199-9E39-758657D5AE9C}">
      <text>
        <r>
          <rPr>
            <b/>
            <sz val="9"/>
            <color indexed="81"/>
            <rFont val="Tahoma"/>
            <family val="2"/>
          </rPr>
          <t>jx:area(lastCell="K12")
jx:each(items="claimVO.claims" var="claims" lastCell="G12" varIndex="index" direction="RIGHT" shiftMode="adjacent")</t>
        </r>
      </text>
    </comment>
    <comment ref="C13" authorId="0" shapeId="0" xr:uid="{A5AFE68E-8CB1-4858-A514-707170A4CA4C}">
      <text>
        <r>
          <rPr>
            <b/>
            <sz val="9"/>
            <color indexed="81"/>
            <rFont val="Tahoma"/>
            <family val="2"/>
          </rPr>
          <t xml:space="preserve">jx:area(lastCell="F13")
jx:each (items="claimVO.claimSummary" var="summary" lastCell="F13" select="summary.budgetCategory.code == 'EOM'")
</t>
        </r>
      </text>
    </comment>
    <comment ref="G13" authorId="0" shapeId="0" xr:uid="{1D432EC1-9278-48C2-87AF-4EA262210541}">
      <text>
        <r>
          <rPr>
            <b/>
            <sz val="9"/>
            <color indexed="81"/>
            <rFont val="Tahoma"/>
            <family val="2"/>
          </rPr>
          <t xml:space="preserve">jx:area(lastCell="K13")
jx:each(items="claimVO.claims" var="claims" lastCell="G13" direction="RIGHT" shiftMode="adjacent" )
jx:each(items="claims.claimSummaryList" var="summary" lastCell="G13" select="summary.budgetCategoryCode == 'EOM'")
</t>
        </r>
      </text>
    </comment>
    <comment ref="C14" authorId="0" shapeId="0" xr:uid="{712ED779-595F-4EC2-A4C6-03E193ED08D5}">
      <text>
        <r>
          <rPr>
            <b/>
            <sz val="9"/>
            <color indexed="81"/>
            <rFont val="Tahoma"/>
            <family val="2"/>
          </rPr>
          <t>jx:area(lastCell="F14")
jx:each (items="claimVO.claimSummary" var="summary" lastCell="F14" select="summary.budgetCategory.code == 'EQT'")</t>
        </r>
      </text>
    </comment>
    <comment ref="G14" authorId="0" shapeId="0" xr:uid="{09DE2220-D644-4C13-86A2-17BEF0DE7B67}">
      <text>
        <r>
          <rPr>
            <b/>
            <sz val="9"/>
            <color indexed="81"/>
            <rFont val="Tahoma"/>
            <family val="2"/>
          </rPr>
          <t>jx:area(lastCell="K14")
jx:each(items="claimVO.claims" var="claims" lastCell="G14" direction="RIGHT" shiftMode="adjacent")
jx:each(items="claims.claimSummaryList" var="summary" lastCell="G14" select="summary.budgetCategoryCode == 'EQT'")</t>
        </r>
      </text>
    </comment>
    <comment ref="C15" authorId="0" shapeId="0" xr:uid="{C8221968-9346-457D-A688-323C23E7E4C3}">
      <text>
        <r>
          <rPr>
            <b/>
            <sz val="9"/>
            <color indexed="81"/>
            <rFont val="Tahoma"/>
            <family val="2"/>
          </rPr>
          <t>jx:area(lastCell="F15")</t>
        </r>
      </text>
    </comment>
    <comment ref="G15" authorId="0" shapeId="0" xr:uid="{BB38BCD1-533D-40DA-A3B3-1F897F9F0AC8}">
      <text>
        <r>
          <rPr>
            <b/>
            <sz val="9"/>
            <color indexed="81"/>
            <rFont val="Tahoma"/>
            <family val="2"/>
          </rPr>
          <t>jx:area(lastCell="K15")
jx:each(items="claimVO.claims" var="claims" lastCell="G15" direction="RIGHT" shiftMode="adjacent")</t>
        </r>
      </text>
    </comment>
    <comment ref="C16" authorId="0" shapeId="0" xr:uid="{972788E3-8803-4368-980C-F584A69106D4}">
      <text>
        <r>
          <rPr>
            <b/>
            <sz val="9"/>
            <color indexed="81"/>
            <rFont val="Tahoma"/>
            <family val="2"/>
          </rPr>
          <t xml:space="preserve">jx:area(lastCell="F16")
jx:each (items="claimVO.claimSummary" var="summary" lastCell="F16" select="summary.budgetCategory.code == 'OST' ")
</t>
        </r>
      </text>
    </comment>
    <comment ref="G16" authorId="0" shapeId="0" xr:uid="{A93148BA-F3C2-4812-96E1-43927AF2B3C3}">
      <text>
        <r>
          <rPr>
            <b/>
            <sz val="9"/>
            <color indexed="81"/>
            <rFont val="Tahoma"/>
            <family val="2"/>
          </rPr>
          <t xml:space="preserve">jx:area(lastCell="K16")
jx:each(items="claimVO.claims" var="claims" lastCell="G16" direction="RIGHT" shiftMode="adjacent")
jx:each(items="claims.claimSummaryList" var="summary" lastCell="G16" select="summary.budgetCategoryCode == 'OST'")
</t>
        </r>
      </text>
    </comment>
    <comment ref="C17" authorId="0" shapeId="0" xr:uid="{4DA23A18-CD55-4BB0-8A67-0C464B24E217}">
      <text>
        <r>
          <rPr>
            <b/>
            <sz val="9"/>
            <color indexed="81"/>
            <rFont val="Tahoma"/>
            <family val="2"/>
          </rPr>
          <t>jx:area(lastCell="F17")
jx:each (items="claimVO.claimSummary" var="summary" lastCell="F17" select="summary.budgetCategory.code == 'RSS'")</t>
        </r>
      </text>
    </comment>
    <comment ref="G17" authorId="0" shapeId="0" xr:uid="{8C1B549E-2E13-4F2B-991B-3455056CDA64}">
      <text>
        <r>
          <rPr>
            <b/>
            <sz val="9"/>
            <color indexed="81"/>
            <rFont val="Tahoma"/>
            <family val="2"/>
          </rPr>
          <t>jx:area(lastCell="K17")
jx:each(items="claimVO.claims" var="claims" lastCell="G17" direction="RIGHT" shiftMode="adjacent")
jx:each(items="claims.claimSummaryList" var="summary" lastCell="G17" select="summary.budgetCategoryCode == 'RSS'")</t>
        </r>
      </text>
    </comment>
    <comment ref="A18" authorId="0" shapeId="0" xr:uid="{8822BC38-A483-4A84-BC09-50CC8AE6F801}">
      <text>
        <r>
          <rPr>
            <b/>
            <sz val="9"/>
            <color indexed="81"/>
            <rFont val="Tahoma"/>
            <family val="2"/>
          </rPr>
          <t>jx:area(lastCell="F25")</t>
        </r>
      </text>
    </comment>
    <comment ref="G18" authorId="0" shapeId="0" xr:uid="{7DBCEAAE-F191-401A-AE74-F5C088C66B8B}">
      <text>
        <r>
          <rPr>
            <b/>
            <sz val="9"/>
            <color indexed="81"/>
            <rFont val="Tahoma"/>
            <family val="2"/>
          </rPr>
          <t>jx:area(lastCell="K18")
jx:each(items="claimVO.claims" var="claims" lastCell="G18" direction="RIGHT" shiftMode="adjacent")</t>
        </r>
      </text>
    </comment>
    <comment ref="G19" authorId="0" shapeId="0" xr:uid="{CD26EFDE-44BE-421B-9A8C-5254C0703A5A}">
      <text>
        <r>
          <rPr>
            <b/>
            <sz val="9"/>
            <color indexed="81"/>
            <rFont val="Tahoma"/>
            <family val="2"/>
          </rPr>
          <t>jx:area(lastCell="K19")
jx:each(items="claimVO.claims" var="claims" lastCell="G19" direction="RIGHT" shiftMode="adjacent")</t>
        </r>
      </text>
    </comment>
    <comment ref="G20" authorId="0" shapeId="0" xr:uid="{A0BA66C9-8AE8-4D05-BB84-891AE05F04F6}">
      <text>
        <r>
          <rPr>
            <b/>
            <sz val="9"/>
            <color indexed="81"/>
            <rFont val="Tahoma"/>
            <family val="2"/>
          </rPr>
          <t>jx:area(lastCell="K20")
jx:each(items="claimVO.claims" var="claims" lastCell="G20" direction="RIGHT" shiftMode="adjacent")</t>
        </r>
      </text>
    </comment>
    <comment ref="G21" authorId="0" shapeId="0" xr:uid="{8AB73D62-24B0-4810-B2E2-C922EA03023C}">
      <text>
        <r>
          <rPr>
            <b/>
            <sz val="9"/>
            <color indexed="81"/>
            <rFont val="Tahoma"/>
            <family val="2"/>
          </rPr>
          <t>jx:area(lastCell="K21")
jx:each(items="claimVO.claims" var="claims" lastCell="G21" direction="RIGHT" shiftMode="adjacent")</t>
        </r>
      </text>
    </comment>
    <comment ref="G22" authorId="0" shapeId="0" xr:uid="{0412742B-0087-457D-B35C-97020FB065C2}">
      <text>
        <r>
          <rPr>
            <b/>
            <sz val="9"/>
            <color indexed="81"/>
            <rFont val="Tahoma"/>
            <family val="2"/>
          </rPr>
          <t>jx:area(lastCell="K22")
jx:each(items="claimVO.claims" var="claims" lastCell="G22" direction="RIGHT" shiftMode="adjacent")</t>
        </r>
      </text>
    </comment>
    <comment ref="G23" authorId="0" shapeId="0" xr:uid="{9DCB7618-23E6-4605-B1B1-C2B70E3B2B0B}">
      <text>
        <r>
          <rPr>
            <b/>
            <sz val="9"/>
            <color indexed="81"/>
            <rFont val="Tahoma"/>
            <family val="2"/>
          </rPr>
          <t>jx:area(lastCell="K23")
jx:each(items="claimVO.claims" var="claims" lastCell="G23" direction="RIGHT" shiftMode="adjacent")</t>
        </r>
      </text>
    </comment>
    <comment ref="G24" authorId="0" shapeId="0" xr:uid="{D6935055-4AB1-457E-9465-5AF82A8BDDBD}">
      <text>
        <r>
          <rPr>
            <b/>
            <sz val="9"/>
            <color indexed="81"/>
            <rFont val="Tahoma"/>
            <family val="2"/>
          </rPr>
          <t>jx:area(lastCell="K24")
jx:each(items="claimVO.claims" var="claims" lastCell="G24" direction="RIGHT" shiftMode="adjacent")</t>
        </r>
      </text>
    </comment>
    <comment ref="G25" authorId="0" shapeId="0" xr:uid="{3EBAC88A-8D9B-4A12-BACE-6402E4E864EC}">
      <text>
        <r>
          <rPr>
            <b/>
            <sz val="9"/>
            <color indexed="81"/>
            <rFont val="Tahoma"/>
            <family val="2"/>
          </rPr>
          <t>jx:area(lastCell="K25")
jx:each(items="claimVO.claims" var="claims" lastCell="G25" direction="RIGHT" shiftMode="adjacent")
jx:if(condition="claims.paymentDate != null", lastCell="G25", areas=["G25:G25","F25:F25"])</t>
        </r>
      </text>
    </comment>
    <comment ref="A26" authorId="0" shapeId="0" xr:uid="{2FDE033F-C9D4-4944-A8FB-F3D879FE1669}">
      <text>
        <r>
          <rPr>
            <b/>
            <sz val="9"/>
            <color indexed="81"/>
            <rFont val="Tahoma"/>
            <family val="2"/>
          </rPr>
          <t>jx:area(lastCell="G35")</t>
        </r>
      </text>
    </comment>
  </commentList>
</comments>
</file>

<file path=xl/sharedStrings.xml><?xml version="1.0" encoding="utf-8"?>
<sst xmlns="http://schemas.openxmlformats.org/spreadsheetml/2006/main" count="69" uniqueCount="59">
  <si>
    <t>A.</t>
  </si>
  <si>
    <t>B.</t>
  </si>
  <si>
    <t>C.</t>
  </si>
  <si>
    <t>D.</t>
  </si>
  <si>
    <t>E.</t>
  </si>
  <si>
    <t>F.</t>
  </si>
  <si>
    <t>G.</t>
  </si>
  <si>
    <t>H.</t>
  </si>
  <si>
    <t/>
  </si>
  <si>
    <t>Project Title:</t>
  </si>
  <si>
    <t>Description of Expenditure Items</t>
  </si>
  <si>
    <t xml:space="preserve">Host Institution: </t>
  </si>
  <si>
    <t>I.</t>
  </si>
  <si>
    <t>Total Grants Received for the Total Expenditure Incurred</t>
  </si>
  <si>
    <t>We certify to the best of our knowledge and belief that the data above are correct and all expenditures were made according</t>
  </si>
  <si>
    <t>Qualifying approved direct costs for computing indirect costs</t>
  </si>
  <si>
    <t>to the grant guidelines, terms and conditions.</t>
  </si>
  <si>
    <t>Expenditure on Manpower (EOM)</t>
  </si>
  <si>
    <t>Equipment (EQP)</t>
  </si>
  <si>
    <t>Other Operating Expenses (OOE)</t>
  </si>
  <si>
    <t>Overseas Travel (OT)</t>
  </si>
  <si>
    <t>Research Scholarship (RS)</t>
  </si>
  <si>
    <r>
      <t xml:space="preserve">Sub-total for direct costs  
</t>
    </r>
    <r>
      <rPr>
        <b/>
        <i/>
        <sz val="10"/>
        <rFont val="Arial"/>
        <family val="2"/>
      </rPr>
      <t xml:space="preserve">(calculated as A+B+C+D+E)
</t>
    </r>
  </si>
  <si>
    <r>
      <t xml:space="preserve">Sub-total for indirect costs </t>
    </r>
    <r>
      <rPr>
        <b/>
        <i/>
        <sz val="10"/>
        <rFont val="Arial"/>
        <family val="2"/>
      </rPr>
      <t xml:space="preserve"> 
(calculated as H)</t>
    </r>
  </si>
  <si>
    <r>
      <t xml:space="preserve">Total Expenditure
</t>
    </r>
    <r>
      <rPr>
        <b/>
        <i/>
        <sz val="10"/>
        <rFont val="Arial"/>
        <family val="2"/>
      </rPr>
      <t>(calculated as F+I)</t>
    </r>
    <r>
      <rPr>
        <b/>
        <sz val="10"/>
        <rFont val="Arial"/>
        <family val="2"/>
      </rPr>
      <t xml:space="preserve">
</t>
    </r>
  </si>
  <si>
    <t>Nanyang Technological University</t>
  </si>
  <si>
    <t>${claimVO.claim.award.sponsorAwardNumber}</t>
  </si>
  <si>
    <t>${claimVO.claim.award.principalInvestigator}</t>
  </si>
  <si>
    <t>Project Start Date:</t>
  </si>
  <si>
    <t>Project End Date:</t>
  </si>
  <si>
    <r>
      <t>Project Duration:</t>
    </r>
    <r>
      <rPr>
        <b/>
        <sz val="11"/>
        <color rgb="FFFF0000"/>
        <rFont val="Arial"/>
        <family val="2"/>
      </rPr>
      <t xml:space="preserve"> </t>
    </r>
  </si>
  <si>
    <t>Type of Audit (Annual / Final):</t>
  </si>
  <si>
    <r>
      <t>Audit Period:</t>
    </r>
    <r>
      <rPr>
        <b/>
        <sz val="11"/>
        <color rgb="FFFF0000"/>
        <rFont val="Arial"/>
        <family val="2"/>
      </rPr>
      <t xml:space="preserve"> </t>
    </r>
  </si>
  <si>
    <t>${summary.originalApprovedBudget}</t>
  </si>
  <si>
    <t>${claimVO.summaryOOE_MACSumValues.originalApprovedBudgetForOOEMAC}</t>
  </si>
  <si>
    <t>${summary.latestApprovedBudget}</t>
  </si>
  <si>
    <t>${claimVO.summaryOOE_MACSumValues.latestApprovedBudgetForOOEMAC}</t>
  </si>
  <si>
    <t>${summary.amountRequested}</t>
  </si>
  <si>
    <t>${claims.summaryOOEMACSumValues.amountRequestedForOOEMAC}</t>
  </si>
  <si>
    <t>Signature of Authorised Approving Officer 
(Director of Research)
_______________________________
Name:${claimVO.claim.rsoName}
Designation:${claimVO.claim.rsoDesignation}
Date:${claimVO.claimRSOApprovalDate}</t>
  </si>
  <si>
    <t xml:space="preserve">Signature of Chief Financial Officer
(or an authorised nominee)
_______________________________
Name:${claimVO.claim.foName}
Designation:${claimVO.claim.foDesignation}
Date:${claimVO.claimFOApprovalDate}
</t>
  </si>
  <si>
    <t>${claimVO.claim.award.title}</t>
  </si>
  <si>
    <t>Date submitted:${claimVO.claimSubmissionDate}</t>
  </si>
  <si>
    <t>Total Expenditure for 'Audit Period'
(S$)</t>
  </si>
  <si>
    <r>
      <t xml:space="preserve">Original Approved Budget as at
</t>
    </r>
    <r>
      <rPr>
        <b/>
        <sz val="10"/>
        <color rgb="FFFF0000"/>
        <rFont val="Arial"/>
        <family val="2"/>
      </rPr>
      <t>[${dateFormat_dd_MMM_yyyy.format(claimVO.claim.award.beginDate)}]</t>
    </r>
    <r>
      <rPr>
        <b/>
        <sz val="10"/>
        <rFont val="Arial"/>
        <family val="2"/>
      </rPr>
      <t xml:space="preserve">
(S$)</t>
    </r>
  </si>
  <si>
    <r>
      <t xml:space="preserve">Latest Approved Budget as at
</t>
    </r>
    <r>
      <rPr>
        <b/>
        <sz val="10"/>
        <color rgb="FFFF0000"/>
        <rFont val="Arial"/>
        <family val="2"/>
      </rPr>
      <t>[${dateFormat_dd_MMM_yyyy.format(claimVO.claim.award.finalExpirationDate)}]</t>
    </r>
    <r>
      <rPr>
        <b/>
        <sz val="10"/>
        <rFont val="Arial"/>
        <family val="2"/>
      </rPr>
      <t xml:space="preserve"> 
(S$)</t>
    </r>
  </si>
  <si>
    <r>
      <t xml:space="preserve">Total Expenditure from 'Project Start Date' to 'Audit End Date'
</t>
    </r>
    <r>
      <rPr>
        <b/>
        <sz val="10"/>
        <color rgb="FFFF0000"/>
        <rFont val="Arial"/>
        <family val="2"/>
      </rPr>
      <t>[${dateFormat_dd_MMM_yyyy.format(claimVO.claim.award.beginDate)} - ${dateFormat_dd_MMM_yyyy.format(claimVO.claim.award.finalExpirationDate)}]</t>
    </r>
    <r>
      <rPr>
        <b/>
        <sz val="10"/>
        <rFont val="Arial"/>
        <family val="2"/>
      </rPr>
      <t xml:space="preserve">
(S$)</t>
    </r>
  </si>
  <si>
    <t>Consolidated Statement of Expenditure for NRF Science of Learning Initiative (NRF SoL)</t>
  </si>
  <si>
    <t>NRF SoL Award Number:</t>
  </si>
  <si>
    <t>Lead Principal Investigator:</t>
  </si>
  <si>
    <t xml:space="preserve"> </t>
  </si>
  <si>
    <r>
      <t xml:space="preserve">Expenditure for ${index == '0' ? (index+1 + "st") : (index == '1' ? (index+1 + "nd") : (index == '2' ? (index+1 + "rd") : (index+1 + "th")))} Quarter
</t>
    </r>
    <r>
      <rPr>
        <b/>
        <sz val="10"/>
        <color rgb="FFFF0000"/>
        <rFont val="Arial"/>
        <family val="2"/>
      </rPr>
      <t>[${dateFormat_dd_MMM_yyyy.format(claims.startDate)} - ${dateFormat_dd_MMM_yyyy.format(claims.endDate)} ]</t>
    </r>
    <r>
      <rPr>
        <b/>
        <sz val="10"/>
        <rFont val="Arial"/>
        <family val="2"/>
      </rPr>
      <t xml:space="preserve">
(S$)</t>
    </r>
  </si>
  <si>
    <t>${claimVO.claim.award.duration}</t>
  </si>
  <si>
    <t>${dateFormat_dd_MMM_yyyy.format(claimVO.claim.award.beginDate)}</t>
  </si>
  <si>
    <t>${dateFormat_dd_MMM_yyyy.format(claimVO.claim.award.finalExpirationDate)}</t>
  </si>
  <si>
    <t>${claims.summaryCalculations.subTotalOfInDirectCost.subTotalInDirAmountReq}</t>
  </si>
  <si>
    <t>${claimVO.summaryCalculations.subTotalOfInDirectCost.subTotalInDirOriginalApproved}</t>
  </si>
  <si>
    <t>${claimVO.summaryCalculations.subTotalOfInDirectCost.subTotalInDirLatestApproved}</t>
  </si>
  <si>
    <r>
      <t xml:space="preserve">General Overheads </t>
    </r>
    <r>
      <rPr>
        <i/>
        <sz val="10"/>
        <rFont val="Arial"/>
        <family val="2"/>
      </rPr>
      <t>(${claimVO.oHPercentage}% of 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</si>
</sst>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[$-14809]d\ mmm\ yyyy;@"/>
  </numFmts>
  <fonts count="33" x14ac:knownFonts="1">
    <font>
      <sz val="11"/>
      <color theme="1"/>
      <name val="Calibri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name val="Calibri"/>
      <family val="2"/>
      <scheme val="minor"/>
    </font>
    <font>
      <b/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9" fillId="3" borderId="0" applyNumberFormat="0" applyBorder="0" applyAlignment="0" applyProtection="0"/>
    <xf numFmtId="0" fontId="13" fillId="20" borderId="1" applyNumberFormat="0" applyAlignment="0" applyProtection="0"/>
    <xf numFmtId="0" fontId="15" fillId="21" borderId="2" applyNumberFormat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11" fillId="7" borderId="1" applyNumberFormat="0" applyAlignment="0" applyProtection="0"/>
    <xf numFmtId="0" fontId="14" fillId="0" borderId="6" applyNumberFormat="0" applyFill="0" applyAlignment="0" applyProtection="0"/>
    <xf numFmtId="0" fontId="10" fillId="22" borderId="0" applyNumberFormat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2" fillId="20" borderId="8" applyNumberFormat="0" applyAlignment="0" applyProtection="0"/>
    <xf numFmtId="0" fontId="4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4">
    <xf numFmtId="0" fontId="0" fillId="0" borderId="0" xfId="0"/>
    <xf numFmtId="0" fontId="22" fillId="0" borderId="0" xfId="0" applyFont="1"/>
    <xf numFmtId="0" fontId="20" fillId="0" borderId="0" xfId="44" applyFont="1" applyAlignment="1">
      <alignment horizontal="center" vertical="center" wrapText="1"/>
    </xf>
    <xf numFmtId="0" fontId="22" fillId="0" borderId="12" xfId="0" applyFont="1" applyBorder="1"/>
    <xf numFmtId="0" fontId="22" fillId="0" borderId="11" xfId="0" applyFont="1" applyBorder="1"/>
    <xf numFmtId="0" fontId="20" fillId="0" borderId="0" xfId="44" applyFont="1" applyAlignment="1">
      <alignment horizontal="left" vertical="center" wrapText="1"/>
    </xf>
    <xf numFmtId="43" fontId="19" fillId="0" borderId="0" xfId="4" applyFont="1" applyFill="1" applyBorder="1" applyAlignment="1">
      <alignment horizontal="right" vertical="center"/>
    </xf>
    <xf numFmtId="0" fontId="1" fillId="0" borderId="0" xfId="44" applyAlignment="1">
      <alignment horizontal="left" vertical="center" wrapText="1"/>
    </xf>
    <xf numFmtId="0" fontId="19" fillId="0" borderId="0" xfId="44" applyFont="1" applyAlignment="1">
      <alignment vertical="top" wrapText="1"/>
    </xf>
    <xf numFmtId="0" fontId="1" fillId="0" borderId="0" xfId="0" applyFont="1" applyAlignment="1">
      <alignment vertical="top" wrapText="1"/>
    </xf>
    <xf numFmtId="0" fontId="25" fillId="0" borderId="0" xfId="44" applyFont="1" applyAlignment="1">
      <alignment vertical="top"/>
    </xf>
    <xf numFmtId="0" fontId="1" fillId="0" borderId="0" xfId="44" applyAlignment="1">
      <alignment horizontal="left" vertical="center"/>
    </xf>
    <xf numFmtId="0" fontId="1" fillId="0" borderId="0" xfId="44" applyAlignment="1">
      <alignment vertical="top"/>
    </xf>
    <xf numFmtId="0" fontId="28" fillId="0" borderId="0" xfId="0" applyFont="1"/>
    <xf numFmtId="0" fontId="20" fillId="0" borderId="0" xfId="44" applyFont="1" applyAlignment="1">
      <alignment vertical="top"/>
    </xf>
    <xf numFmtId="0" fontId="23" fillId="0" borderId="0" xfId="0" applyFont="1"/>
    <xf numFmtId="0" fontId="19" fillId="0" borderId="0" xfId="44" applyFont="1" applyAlignment="1">
      <alignment vertical="top"/>
    </xf>
    <xf numFmtId="0" fontId="31" fillId="0" borderId="0" xfId="0" applyFont="1"/>
    <xf numFmtId="0" fontId="22" fillId="0" borderId="0" xfId="0" applyFont="1" applyAlignment="1">
      <alignment horizontal="left" vertical="center"/>
    </xf>
    <xf numFmtId="165" fontId="22" fillId="0" borderId="0" xfId="0" applyNumberFormat="1" applyFont="1" applyAlignment="1">
      <alignment horizontal="left" vertical="center"/>
    </xf>
    <xf numFmtId="0" fontId="22" fillId="0" borderId="10" xfId="0" applyFont="1" applyBorder="1"/>
    <xf numFmtId="0" fontId="19" fillId="0" borderId="0" xfId="44" applyFont="1" applyAlignment="1">
      <alignment horizontal="left" vertical="center"/>
    </xf>
    <xf numFmtId="165" fontId="26" fillId="24" borderId="14" xfId="44" applyNumberFormat="1" applyFont="1" applyFill="1" applyBorder="1" applyAlignment="1">
      <alignment horizontal="center" vertical="top" wrapText="1"/>
    </xf>
    <xf numFmtId="0" fontId="26" fillId="25" borderId="14" xfId="0" applyFont="1" applyFill="1" applyBorder="1" applyAlignment="1">
      <alignment horizontal="center" vertical="top" wrapText="1"/>
    </xf>
    <xf numFmtId="0" fontId="26" fillId="24" borderId="14" xfId="44" applyFont="1" applyFill="1" applyBorder="1" applyAlignment="1">
      <alignment horizontal="center" vertical="top" wrapText="1"/>
    </xf>
    <xf numFmtId="0" fontId="29" fillId="0" borderId="14" xfId="44" applyFont="1" applyBorder="1" applyAlignment="1">
      <alignment horizontal="center" vertical="top" wrapText="1"/>
    </xf>
    <xf numFmtId="0" fontId="30" fillId="0" borderId="14" xfId="44" applyFont="1" applyBorder="1" applyAlignment="1">
      <alignment horizontal="center" vertical="top" wrapText="1"/>
    </xf>
    <xf numFmtId="0" fontId="29" fillId="26" borderId="14" xfId="44" applyFont="1" applyFill="1" applyBorder="1" applyAlignment="1">
      <alignment horizontal="center" vertical="top" wrapText="1"/>
    </xf>
    <xf numFmtId="164" fontId="1" fillId="0" borderId="14" xfId="4" applyNumberFormat="1" applyFont="1" applyFill="1" applyBorder="1" applyAlignment="1">
      <alignment horizontal="right" vertical="center"/>
    </xf>
    <xf numFmtId="164" fontId="26" fillId="0" borderId="14" xfId="4" applyNumberFormat="1" applyFont="1" applyFill="1" applyBorder="1" applyAlignment="1">
      <alignment horizontal="right" vertical="center"/>
    </xf>
    <xf numFmtId="164" fontId="1" fillId="26" borderId="14" xfId="4" applyNumberFormat="1" applyFont="1" applyFill="1" applyBorder="1" applyAlignment="1">
      <alignment horizontal="right" vertical="center"/>
    </xf>
    <xf numFmtId="164" fontId="26" fillId="27" borderId="14" xfId="4" applyNumberFormat="1" applyFont="1" applyFill="1" applyBorder="1" applyAlignment="1">
      <alignment horizontal="right" vertical="center"/>
    </xf>
    <xf numFmtId="0" fontId="1" fillId="0" borderId="13" xfId="44" applyBorder="1" applyAlignment="1">
      <alignment horizontal="left" vertical="top" wrapText="1"/>
    </xf>
    <xf numFmtId="0" fontId="1" fillId="0" borderId="13" xfId="44" applyBorder="1" applyAlignment="1">
      <alignment vertical="top" wrapText="1"/>
    </xf>
    <xf numFmtId="0" fontId="1" fillId="0" borderId="13" xfId="44" quotePrefix="1" applyBorder="1" applyAlignment="1">
      <alignment horizontal="left" vertical="top" wrapText="1"/>
    </xf>
    <xf numFmtId="0" fontId="26" fillId="0" borderId="13" xfId="44" applyFont="1" applyBorder="1" applyAlignment="1">
      <alignment vertical="top" wrapText="1"/>
    </xf>
    <xf numFmtId="0" fontId="26" fillId="26" borderId="13" xfId="44" applyFont="1" applyFill="1" applyBorder="1" applyAlignment="1">
      <alignment horizontal="center" vertical="top" wrapText="1"/>
    </xf>
    <xf numFmtId="0" fontId="26" fillId="26" borderId="13" xfId="44" applyFont="1" applyFill="1" applyBorder="1" applyAlignment="1">
      <alignment vertical="top" wrapText="1"/>
    </xf>
    <xf numFmtId="0" fontId="26" fillId="24" borderId="14" xfId="44" applyFont="1" applyFill="1" applyBorder="1" applyAlignment="1">
      <alignment horizontal="center" vertical="top"/>
    </xf>
    <xf numFmtId="0" fontId="1" fillId="0" borderId="14" xfId="0" applyFont="1" applyBorder="1" applyAlignment="1">
      <alignment vertical="top" wrapText="1"/>
    </xf>
    <xf numFmtId="4" fontId="1" fillId="0" borderId="13" xfId="0" applyNumberFormat="1" applyFont="1" applyBorder="1" applyAlignment="1">
      <alignment vertical="top" wrapText="1"/>
    </xf>
    <xf numFmtId="0" fontId="22" fillId="0" borderId="12" xfId="0" applyFont="1" applyBorder="1" applyAlignment="1">
      <alignment vertical="top"/>
    </xf>
    <xf numFmtId="0" fontId="26" fillId="0" borderId="14" xfId="44" applyFont="1" applyBorder="1" applyAlignment="1">
      <alignment horizontal="left" vertical="top" wrapText="1"/>
    </xf>
    <xf numFmtId="0" fontId="26" fillId="0" borderId="14" xfId="44" applyFont="1" applyBorder="1" applyAlignment="1">
      <alignment horizontal="left" vertical="center" wrapText="1"/>
    </xf>
  </cellXfs>
  <cellStyles count="55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mma" xfId="4" xr:uid="{00000000-0005-0000-0000-00001B000000}"/>
    <cellStyle name="Comma [0]" xfId="5" xr:uid="{00000000-0005-0000-0000-00001C000000}"/>
    <cellStyle name="Comma 2 2" xfId="33" xr:uid="{00000000-0005-0000-0000-00001D000000}"/>
    <cellStyle name="Currency" xfId="2" xr:uid="{00000000-0005-0000-0000-00001E000000}"/>
    <cellStyle name="Currency [0]" xfId="3" xr:uid="{00000000-0005-0000-0000-00001F000000}"/>
    <cellStyle name="Currency 2" xfId="34" xr:uid="{00000000-0005-0000-0000-000020000000}"/>
    <cellStyle name="Explanatory Text 2" xfId="35" xr:uid="{00000000-0005-0000-0000-000021000000}"/>
    <cellStyle name="Good 2" xfId="36" xr:uid="{00000000-0005-0000-0000-000022000000}"/>
    <cellStyle name="Heading 1 2" xfId="37" xr:uid="{00000000-0005-0000-0000-000023000000}"/>
    <cellStyle name="Heading 2 2" xfId="38" xr:uid="{00000000-0005-0000-0000-000024000000}"/>
    <cellStyle name="Heading 3 2" xfId="39" xr:uid="{00000000-0005-0000-0000-000025000000}"/>
    <cellStyle name="Heading 4 2" xfId="40" xr:uid="{00000000-0005-0000-0000-000026000000}"/>
    <cellStyle name="Input 2" xfId="41" xr:uid="{00000000-0005-0000-0000-000027000000}"/>
    <cellStyle name="Linked Cell 2" xfId="42" xr:uid="{00000000-0005-0000-0000-000028000000}"/>
    <cellStyle name="Neutral 2" xfId="43" xr:uid="{00000000-0005-0000-0000-000029000000}"/>
    <cellStyle name="Normal" xfId="0" builtinId="0"/>
    <cellStyle name="Normal 2" xfId="44" xr:uid="{00000000-0005-0000-0000-00002B000000}"/>
    <cellStyle name="Normal 2 2" xfId="45" xr:uid="{00000000-0005-0000-0000-00002C000000}"/>
    <cellStyle name="Normal 2 2 2" xfId="46" xr:uid="{00000000-0005-0000-0000-00002D000000}"/>
    <cellStyle name="Normal 2 4" xfId="47" xr:uid="{00000000-0005-0000-0000-00002E000000}"/>
    <cellStyle name="Normal 3" xfId="48" xr:uid="{00000000-0005-0000-0000-00002F000000}"/>
    <cellStyle name="Normal 3 2" xfId="49" xr:uid="{00000000-0005-0000-0000-000030000000}"/>
    <cellStyle name="Note 2" xfId="50" xr:uid="{00000000-0005-0000-0000-000031000000}"/>
    <cellStyle name="Output 2" xfId="51" xr:uid="{00000000-0005-0000-0000-000032000000}"/>
    <cellStyle name="Percent" xfId="1" xr:uid="{00000000-0005-0000-0000-000033000000}"/>
    <cellStyle name="Title 2" xfId="52" xr:uid="{00000000-0005-0000-0000-000034000000}"/>
    <cellStyle name="Total 2" xfId="53" xr:uid="{00000000-0005-0000-0000-000035000000}"/>
    <cellStyle name="Warning Text 2" xfId="54" xr:uid="{00000000-0005-0000-0000-000036000000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FFF99"/>
      <color rgb="FFD8E4BC"/>
      <color rgb="FFFFFFFF"/>
      <color rgb="FFF2DCDB"/>
      <color rgb="FFFCD5B4"/>
      <color rgb="FFE4DFEC"/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"/>
  <sheetViews>
    <sheetView tabSelected="1" topLeftCell="A12" zoomScaleNormal="100" workbookViewId="0">
      <selection activeCell="B21" sqref="B21"/>
    </sheetView>
  </sheetViews>
  <sheetFormatPr defaultColWidth="9.28515625" defaultRowHeight="15" x14ac:dyDescent="0.25"/>
  <cols>
    <col min="1" max="1" width="6.28515625" style="1" customWidth="1"/>
    <col min="2" max="2" width="31.28515625" style="1" customWidth="1"/>
    <col min="3" max="3" width="14.7109375" style="1" customWidth="1"/>
    <col min="4" max="4" width="12.7109375" style="1" customWidth="1"/>
    <col min="5" max="5" width="22.28515625" style="1" customWidth="1"/>
    <col min="6" max="6" width="16.85546875" style="1" bestFit="1" customWidth="1"/>
    <col min="7" max="24" width="15" style="1" customWidth="1"/>
    <col min="25" max="16384" width="9.28515625" style="1"/>
  </cols>
  <sheetData>
    <row r="1" spans="1:32" s="15" customFormat="1" ht="18" x14ac:dyDescent="0.25">
      <c r="A1" s="10" t="s">
        <v>47</v>
      </c>
    </row>
    <row r="2" spans="1:32" s="15" customFormat="1" x14ac:dyDescent="0.25">
      <c r="A2" s="14" t="s">
        <v>31</v>
      </c>
    </row>
    <row r="3" spans="1:32" s="15" customFormat="1" x14ac:dyDescent="0.25">
      <c r="A3" s="14" t="s">
        <v>32</v>
      </c>
    </row>
    <row r="4" spans="1:32" s="15" customFormat="1" x14ac:dyDescent="0.25">
      <c r="A4" s="14" t="s">
        <v>11</v>
      </c>
      <c r="C4" s="18" t="s">
        <v>25</v>
      </c>
    </row>
    <row r="5" spans="1:32" s="15" customFormat="1" x14ac:dyDescent="0.25">
      <c r="A5" s="14" t="s">
        <v>48</v>
      </c>
      <c r="C5" s="18" t="s">
        <v>26</v>
      </c>
    </row>
    <row r="6" spans="1:32" s="15" customFormat="1" x14ac:dyDescent="0.25">
      <c r="A6" s="14" t="s">
        <v>49</v>
      </c>
      <c r="C6" s="18" t="s">
        <v>27</v>
      </c>
    </row>
    <row r="7" spans="1:32" s="15" customFormat="1" x14ac:dyDescent="0.25">
      <c r="A7" s="14" t="s">
        <v>9</v>
      </c>
      <c r="B7" s="16"/>
      <c r="C7" s="18" t="s">
        <v>41</v>
      </c>
    </row>
    <row r="8" spans="1:32" s="15" customFormat="1" x14ac:dyDescent="0.25">
      <c r="A8" s="14" t="s">
        <v>28</v>
      </c>
      <c r="B8" s="16"/>
      <c r="C8" s="19" t="s">
        <v>53</v>
      </c>
    </row>
    <row r="9" spans="1:32" s="15" customFormat="1" x14ac:dyDescent="0.25">
      <c r="A9" s="14" t="s">
        <v>29</v>
      </c>
      <c r="B9" s="16"/>
      <c r="C9" s="19" t="s">
        <v>54</v>
      </c>
    </row>
    <row r="10" spans="1:32" s="15" customFormat="1" x14ac:dyDescent="0.25">
      <c r="A10" s="14" t="s">
        <v>30</v>
      </c>
      <c r="B10" s="16"/>
      <c r="C10" s="21" t="s">
        <v>52</v>
      </c>
    </row>
    <row r="11" spans="1:32" x14ac:dyDescent="0.25"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s="13" customFormat="1" ht="86.45" customHeight="1" x14ac:dyDescent="0.25">
      <c r="A12" s="38" t="s">
        <v>10</v>
      </c>
      <c r="B12" s="38"/>
      <c r="C12" s="22" t="s">
        <v>44</v>
      </c>
      <c r="D12" s="22" t="s">
        <v>45</v>
      </c>
      <c r="E12" s="23" t="s">
        <v>46</v>
      </c>
      <c r="F12" s="24" t="s">
        <v>43</v>
      </c>
      <c r="G12" s="24" t="s">
        <v>51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spans="1:32" s="13" customFormat="1" x14ac:dyDescent="0.25">
      <c r="A13" s="25" t="s">
        <v>0</v>
      </c>
      <c r="B13" s="32" t="s">
        <v>17</v>
      </c>
      <c r="C13" s="28" t="s">
        <v>33</v>
      </c>
      <c r="D13" s="28" t="s">
        <v>35</v>
      </c>
      <c r="E13" s="28">
        <f>SUM(G13)</f>
        <v>0</v>
      </c>
      <c r="F13" s="28"/>
      <c r="G13" s="28" t="s">
        <v>37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 s="13" customFormat="1" x14ac:dyDescent="0.25">
      <c r="A14" s="25" t="s">
        <v>1</v>
      </c>
      <c r="B14" s="32" t="s">
        <v>18</v>
      </c>
      <c r="C14" s="28" t="s">
        <v>33</v>
      </c>
      <c r="D14" s="28" t="s">
        <v>35</v>
      </c>
      <c r="E14" s="28">
        <f>SUM(G14)</f>
        <v>0</v>
      </c>
      <c r="F14" s="28"/>
      <c r="G14" s="28" t="s">
        <v>37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spans="1:32" s="13" customFormat="1" x14ac:dyDescent="0.25">
      <c r="A15" s="25" t="s">
        <v>2</v>
      </c>
      <c r="B15" s="33" t="s">
        <v>19</v>
      </c>
      <c r="C15" s="28" t="s">
        <v>34</v>
      </c>
      <c r="D15" s="28" t="s">
        <v>36</v>
      </c>
      <c r="E15" s="28">
        <f>SUM(G15)</f>
        <v>0</v>
      </c>
      <c r="F15" s="28"/>
      <c r="G15" s="28" t="s">
        <v>38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 s="13" customFormat="1" ht="12.75" customHeight="1" x14ac:dyDescent="0.25">
      <c r="A16" s="25" t="s">
        <v>3</v>
      </c>
      <c r="B16" s="32" t="s">
        <v>20</v>
      </c>
      <c r="C16" s="28" t="s">
        <v>33</v>
      </c>
      <c r="D16" s="28" t="s">
        <v>35</v>
      </c>
      <c r="E16" s="28">
        <f t="shared" ref="E16:E18" si="0">SUM(G16)</f>
        <v>0</v>
      </c>
      <c r="F16" s="28"/>
      <c r="G16" s="28" t="s">
        <v>37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spans="1:32" s="13" customFormat="1" ht="12.75" customHeight="1" x14ac:dyDescent="0.25">
      <c r="A17" s="25" t="s">
        <v>4</v>
      </c>
      <c r="B17" s="34" t="s">
        <v>21</v>
      </c>
      <c r="C17" s="28" t="s">
        <v>33</v>
      </c>
      <c r="D17" s="28" t="s">
        <v>35</v>
      </c>
      <c r="E17" s="28">
        <f t="shared" si="0"/>
        <v>0</v>
      </c>
      <c r="F17" s="28"/>
      <c r="G17" s="28" t="s">
        <v>37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spans="1:32" s="17" customFormat="1" ht="29.25" customHeight="1" x14ac:dyDescent="0.25">
      <c r="A18" s="26" t="s">
        <v>5</v>
      </c>
      <c r="B18" s="35" t="s">
        <v>22</v>
      </c>
      <c r="C18" s="29">
        <f>SUM(C13:C17)</f>
        <v>0</v>
      </c>
      <c r="D18" s="29">
        <f>SUM(D13:D17)</f>
        <v>0</v>
      </c>
      <c r="E18" s="29" t="e">
        <f t="shared" si="0"/>
        <v>#VALUE!</v>
      </c>
      <c r="F18" s="28"/>
      <c r="G18" s="29" t="e">
        <f>SUM(G13+G14+G15+G16+G17)</f>
        <v>#VALUE!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 spans="1:32" s="13" customFormat="1" x14ac:dyDescent="0.25">
      <c r="A19" s="27"/>
      <c r="B19" s="36"/>
      <c r="C19" s="30" t="s">
        <v>8</v>
      </c>
      <c r="D19" s="30"/>
      <c r="E19" s="30"/>
      <c r="F19" s="30"/>
      <c r="G19" s="30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spans="1:32" s="13" customFormat="1" ht="29.25" customHeight="1" x14ac:dyDescent="0.25">
      <c r="A20" s="25" t="s">
        <v>6</v>
      </c>
      <c r="B20" s="33" t="s">
        <v>15</v>
      </c>
      <c r="C20" s="28" t="e">
        <f>C18-C17</f>
        <v>#VALUE!</v>
      </c>
      <c r="D20" s="28" t="e">
        <f>C20</f>
        <v>#VALUE!</v>
      </c>
      <c r="E20" s="28" t="e">
        <f>SUM(G20)</f>
        <v>#VALUE!</v>
      </c>
      <c r="F20" s="28"/>
      <c r="G20" s="28" t="e">
        <f>G18-G17</f>
        <v>#VALUE!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spans="1:32" s="13" customFormat="1" ht="12.75" customHeight="1" x14ac:dyDescent="0.25">
      <c r="A21" s="25" t="s">
        <v>7</v>
      </c>
      <c r="B21" s="33" t="s">
        <v>58</v>
      </c>
      <c r="C21" s="28" t="s">
        <v>56</v>
      </c>
      <c r="D21" s="28" t="s">
        <v>57</v>
      </c>
      <c r="E21" s="28">
        <f>SUM(G21)</f>
        <v>0</v>
      </c>
      <c r="F21" s="28"/>
      <c r="G21" s="28" t="s">
        <v>55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s="17" customFormat="1" ht="29.25" customHeight="1" x14ac:dyDescent="0.25">
      <c r="A22" s="26" t="s">
        <v>12</v>
      </c>
      <c r="B22" s="35" t="s">
        <v>23</v>
      </c>
      <c r="C22" s="29" t="str">
        <f>C21</f>
        <v>${claimVO.summaryCalculations.subTotalOfInDirectCost.subTotalInDirOriginalApproved}</v>
      </c>
      <c r="D22" s="29" t="str">
        <f>D21</f>
        <v>${claimVO.summaryCalculations.subTotalOfInDirectCost.subTotalInDirLatestApproved}</v>
      </c>
      <c r="E22" s="29">
        <f>SUM(G22)</f>
        <v>0</v>
      </c>
      <c r="F22" s="28"/>
      <c r="G22" s="29" t="str">
        <f>G21</f>
        <v>${claims.summaryCalculations.subTotalOfInDirectCost.subTotalInDirAmountReq}</v>
      </c>
      <c r="H22" s="1" t="s">
        <v>50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spans="1:32" s="13" customFormat="1" x14ac:dyDescent="0.25">
      <c r="A23" s="27"/>
      <c r="B23" s="37"/>
      <c r="C23" s="30" t="s">
        <v>8</v>
      </c>
      <c r="D23" s="30"/>
      <c r="E23" s="30"/>
      <c r="F23" s="30"/>
      <c r="G23" s="30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 spans="1:32" s="17" customFormat="1" ht="29.25" customHeight="1" x14ac:dyDescent="0.25">
      <c r="A24" s="42" t="s">
        <v>24</v>
      </c>
      <c r="B24" s="42"/>
      <c r="C24" s="29" t="e">
        <f>C18+C22</f>
        <v>#VALUE!</v>
      </c>
      <c r="D24" s="29" t="e">
        <f>D18+D22</f>
        <v>#VALUE!</v>
      </c>
      <c r="E24" s="29" t="e">
        <f>SUM(G24)</f>
        <v>#VALUE!</v>
      </c>
      <c r="F24" s="29"/>
      <c r="G24" s="29" t="e">
        <f t="shared" ref="G24" si="1">G18+G22</f>
        <v>#VALUE!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spans="1:32" s="17" customFormat="1" ht="29.25" customHeight="1" x14ac:dyDescent="0.25">
      <c r="A25" s="43" t="s">
        <v>13</v>
      </c>
      <c r="B25" s="43"/>
      <c r="C25" s="31"/>
      <c r="D25" s="31"/>
      <c r="E25" s="29" t="e">
        <f>SUM(G25)</f>
        <v>#VALUE!</v>
      </c>
      <c r="F25" s="29"/>
      <c r="G25" s="29" t="e">
        <f>G24</f>
        <v>#VALUE!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spans="1:32" x14ac:dyDescent="0.25">
      <c r="A26" s="2"/>
      <c r="B26" s="5"/>
      <c r="C26" s="6"/>
      <c r="D26" s="6"/>
      <c r="E26" s="6"/>
      <c r="F26" s="6"/>
      <c r="G26" s="6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spans="1:32" ht="15" customHeight="1" x14ac:dyDescent="0.25">
      <c r="A27" s="11" t="s">
        <v>14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32" x14ac:dyDescent="0.25">
      <c r="A28" s="12" t="s">
        <v>16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32" ht="120" customHeight="1" x14ac:dyDescent="0.25">
      <c r="A29" s="40" t="s">
        <v>39</v>
      </c>
      <c r="B29" s="41"/>
      <c r="C29" s="39" t="s">
        <v>40</v>
      </c>
      <c r="D29" s="39"/>
      <c r="E29" s="3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32" x14ac:dyDescent="0.25">
      <c r="A30" s="20" t="s">
        <v>42</v>
      </c>
      <c r="B30" s="3"/>
      <c r="C30" s="3"/>
      <c r="D30" s="3"/>
      <c r="E30" s="4"/>
    </row>
  </sheetData>
  <mergeCells count="5">
    <mergeCell ref="A12:B12"/>
    <mergeCell ref="C29:E29"/>
    <mergeCell ref="A29:B29"/>
    <mergeCell ref="A24:B24"/>
    <mergeCell ref="A25:B25"/>
  </mergeCells>
  <conditionalFormatting sqref="C13:G24">
    <cfRule type="containsBlanks" dxfId="0" priority="1">
      <formula>LEN(TRIM(C13))=0</formula>
    </cfRule>
  </conditionalFormatting>
  <pageMargins left="0.43307086614173229" right="0.43307086614173229" top="0.74803149606299213" bottom="0.74803149606299213" header="0.31496062992125984" footer="0.31496062992125984"/>
  <pageSetup paperSize="8" pageOrder="overThenDown" orientation="landscape" r:id="rId1"/>
  <headerFooter>
    <oddFooter>&amp;CPage 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1D0BBB7606D49BA8D9E4376F3E4C2" ma:contentTypeVersion="12" ma:contentTypeDescription="Create a new document." ma:contentTypeScope="" ma:versionID="be260bd93d4bae9a9895123fe7964adf">
  <xsd:schema xmlns:xsd="http://www.w3.org/2001/XMLSchema" xmlns:xs="http://www.w3.org/2001/XMLSchema" xmlns:p="http://schemas.microsoft.com/office/2006/metadata/properties" xmlns:ns2="787c1d3c-cbfd-41c9-a7b1-f0c6f1ecb0ca" xmlns:ns3="fb35db46-6e83-44d9-a6c1-dd79dfbfdcf6" targetNamespace="http://schemas.microsoft.com/office/2006/metadata/properties" ma:root="true" ma:fieldsID="082a01cae99a110f460912a12ef8fb8e" ns2:_="" ns3:_="">
    <xsd:import namespace="787c1d3c-cbfd-41c9-a7b1-f0c6f1ecb0ca"/>
    <xsd:import namespace="fb35db46-6e83-44d9-a6c1-dd79dfbfdc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c1d3c-cbfd-41c9-a7b1-f0c6f1ecb0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5db46-6e83-44d9-a6c1-dd79dfbfdcf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9CF461-1500-49C2-A89F-27366C5D0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c1d3c-cbfd-41c9-a7b1-f0c6f1ecb0ca"/>
    <ds:schemaRef ds:uri="fb35db46-6e83-44d9-a6c1-dd79dfbfdc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8564E1-149B-471E-87CB-5FDFE79CC5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FA781E-6713-484A-9034-CB85C61A909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Annual Audit for FY 2020</vt:lpstr>
      <vt:lpstr>'Annual Audit for FY 2020'!Print_Area</vt:lpstr>
      <vt:lpstr>'Annual Audit for FY 2020'!Print_Titles</vt:lpstr>
    </vt:vector>
  </TitlesOfParts>
  <Company>Atos Origin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sg02100</dc:creator>
  <cp:lastModifiedBy>Aswathy Raj</cp:lastModifiedBy>
  <cp:lastPrinted>2017-03-30T08:24:33Z</cp:lastPrinted>
  <dcterms:created xsi:type="dcterms:W3CDTF">2012-02-01T05:39:36Z</dcterms:created>
  <dcterms:modified xsi:type="dcterms:W3CDTF">2023-04-14T09:44:38Z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0x010100BCF1D0BBB7606D49BA8D9E4376F3E4C2</vt:lpwstr>
  </property>
</Properties>
</file>