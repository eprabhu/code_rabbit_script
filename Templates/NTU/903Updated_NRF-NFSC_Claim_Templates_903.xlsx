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"/>
    </mc:Choice>
  </mc:AlternateContent>
  <xr:revisionPtr revIDLastSave="0" documentId="13_ncr:1_{64086306-4573-4156-8816-7400C40D7B3A}" xr6:coauthVersionLast="47" xr6:coauthVersionMax="47" xr10:uidLastSave="{00000000-0000-0000-0000-000000000000}"/>
  <bookViews>
    <workbookView xWindow="30" yWindow="30" windowWidth="20460" windowHeight="10890" activeTab="1" xr2:uid="{00000000-000D-0000-FFFF-FFFF00000000}"/>
  </bookViews>
  <sheets>
    <sheet name="New Drawdown Request" sheetId="6" r:id="rId1"/>
    <sheet name="Main" sheetId="2" r:id="rId2"/>
    <sheet name="Additional Information Needed" sheetId="3" r:id="rId3"/>
  </sheets>
  <definedNames>
    <definedName name="_xlnm.Print_Area" localSheetId="1">Main!$A$1:$F$43</definedName>
    <definedName name="_xlnm.Print_Area" localSheetId="0">'New Drawdown Request'!$A$1:$J$47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C19" i="6" l="1" a="1"/>
  <c r="J19" i="6" a="1"/>
  <c r="I19" i="6" a="1"/>
  <c r="H19" i="6" a="1"/>
  <c r="G19" i="6" a="1"/>
  <c r="D19" i="6" a="1"/>
  <c r="B30" i="3" a="1"/>
  <c r="C19" i="6" l="1"/>
  <c r="J19" i="6"/>
  <c r="I19" i="6"/>
  <c r="H19" i="6"/>
  <c r="G19" i="6"/>
  <c r="D19" i="6"/>
  <c r="B30" i="3"/>
  <c r="C26" i="3" l="1"/>
  <c r="D26" i="3" s="1"/>
  <c r="C25" i="3"/>
  <c r="D25" i="3" s="1"/>
  <c r="C27" i="3"/>
  <c r="D27" i="3" s="1"/>
  <c r="C28" i="3"/>
  <c r="D28" i="3" s="1"/>
  <c r="C24" i="3"/>
  <c r="D24" i="3" s="1"/>
  <c r="C29" i="3" l="1"/>
  <c r="C30" i="3" l="1"/>
  <c r="D30" i="3" s="1"/>
  <c r="C31" i="3" l="1"/>
  <c r="C17" i="3"/>
  <c r="C19" i="3" s="1"/>
  <c r="B8" i="3" s="1"/>
  <c r="B33" i="3" l="1"/>
  <c r="J20" i="6"/>
  <c r="I20" i="6"/>
  <c r="H20" i="6"/>
  <c r="G20" i="6"/>
  <c r="F20" i="6"/>
  <c r="E20" i="6"/>
  <c r="C20" i="6"/>
  <c r="D20" i="6"/>
  <c r="B17" i="3" l="1"/>
  <c r="B19" i="3" l="1"/>
  <c r="D29" i="3"/>
  <c r="F40" i="2"/>
  <c r="F43" i="2" s="1"/>
  <c r="D31" i="3" l="1"/>
  <c r="B32" i="3"/>
  <c r="B34" i="3"/>
  <c r="J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BB359D8A-195B-4066-A830-8EEFF865CC7A}">
      <text>
        <r>
          <rPr>
            <b/>
            <sz val="9"/>
            <color indexed="81"/>
            <rFont val="Tahoma"/>
            <family val="2"/>
          </rPr>
          <t>jx:area(lastCell="J13")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766DC8A1-D8AF-4C45-B55E-F8BA8EE0689C}">
      <text>
        <r>
          <rPr>
            <b/>
            <sz val="9"/>
            <color indexed="81"/>
            <rFont val="Tahoma"/>
            <family val="2"/>
          </rPr>
          <t>jx:area(lastCell="J14")
jx:each (items="claimVO.claimSummary" var="summary" lastCell="J14" select="summary.budgetCategory.code == 'EOM'")</t>
        </r>
      </text>
    </comment>
    <comment ref="C15" authorId="0" shapeId="0" xr:uid="{D9AD64F3-5109-4515-A091-F524219B5248}">
      <text>
        <r>
          <rPr>
            <b/>
            <sz val="9"/>
            <color indexed="81"/>
            <rFont val="Tahoma"/>
            <family val="2"/>
          </rPr>
          <t>jx:area(lastCell="J15")
jx:each (items="claimVO.claimSummary" var="summary" lastCell="J15" select="summary.budgetCategory.code == 'EQT'")</t>
        </r>
      </text>
    </comment>
    <comment ref="C16" authorId="0" shapeId="0" xr:uid="{9F42CA6C-4681-48C5-9956-163DB4FCFC07}">
      <text>
        <r>
          <rPr>
            <b/>
            <sz val="9"/>
            <color indexed="81"/>
            <rFont val="Tahoma"/>
            <family val="2"/>
          </rPr>
          <t xml:space="preserve">jx:area(lastCell="J16")
</t>
        </r>
      </text>
    </comment>
    <comment ref="C17" authorId="0" shapeId="0" xr:uid="{284AB382-1047-4EDA-88AD-992892BA6FEB}">
      <text>
        <r>
          <rPr>
            <b/>
            <sz val="9"/>
            <color indexed="81"/>
            <rFont val="Tahoma"/>
            <family val="2"/>
          </rPr>
          <t>jx:area(lastCell="J17")
jx:each (items="claimVO.claimSummary" var="summary" lastCell="J17" select="summary.budgetCategory.code == 'OST'")</t>
        </r>
      </text>
    </comment>
    <comment ref="C18" authorId="0" shapeId="0" xr:uid="{E1F6FCEF-B747-4E88-A721-47A2B297B1C7}">
      <text>
        <r>
          <rPr>
            <b/>
            <sz val="9"/>
            <color indexed="81"/>
            <rFont val="Tahoma"/>
            <family val="2"/>
          </rPr>
          <t>jx:area(lastCell="J18")
jx:each (items="claimVO.claimSummary" var="summary" lastCell="J18" select="summary.budgetCategory.code == 'RSS'")</t>
        </r>
      </text>
    </comment>
    <comment ref="A19" authorId="0" shapeId="0" xr:uid="{EA01972C-5FFE-4A6C-ABCC-107CF1E38C99}">
      <text>
        <r>
          <rPr>
            <b/>
            <sz val="9"/>
            <color indexed="81"/>
            <rFont val="Tahoma"/>
            <family val="2"/>
          </rPr>
          <t>jx:area(lastCell="J51")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F06D35D2-74A5-45FE-A294-7D5DD1AD1029}">
      <text>
        <r>
          <rPr>
            <b/>
            <sz val="9"/>
            <color indexed="81"/>
            <rFont val="Tahoma"/>
            <family val="2"/>
          </rPr>
          <t>jx:area(lastCell="F48")</t>
        </r>
      </text>
    </comment>
    <comment ref="A11" authorId="0" shapeId="0" xr:uid="{29AB07F6-DCE8-4F49-87D1-563E8A3E130D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lastCell="F13"  select="summary.budgetCategory.code == 'EOM'")
jx:each(items="summary.groupedTransactions" var="transaction" varIndex="index" lastCell="F13")</t>
        </r>
      </text>
    </comment>
    <comment ref="A13" authorId="0" shapeId="0" xr:uid="{25EFA325-5271-4A2D-99A8-7C2AE9BFE786}">
      <text>
        <r>
          <rPr>
            <b/>
            <sz val="9"/>
            <color indexed="81"/>
            <rFont val="Tahoma"/>
            <family val="2"/>
          </rPr>
          <t xml:space="preserve">jx:each(items="transaction.transactions" var="transactions" lastCell="F13")
</t>
        </r>
      </text>
    </comment>
    <comment ref="A18" authorId="0" shapeId="0" xr:uid="{1156EB81-F47D-48B7-A3DF-5B688518A0A7}">
      <text>
        <r>
          <rPr>
            <b/>
            <sz val="9"/>
            <color indexed="81"/>
            <rFont val="Tahoma"/>
            <family val="2"/>
          </rPr>
          <t xml:space="preserve">jx:each (items="claimVO.claimSummaryDetails" var="summary" lastCell="F18" select="summary.budgetCategory.code == 'EQT'")
jx:each(items="summary.groupedTransactions" var="transaction" lastCell="F18")
jx:each(items="transaction.transactions" var="transactions" lastCell="F18")
</t>
        </r>
      </text>
    </comment>
    <comment ref="A23" authorId="0" shapeId="0" xr:uid="{91FE411F-D70D-494A-BC65-D7B6C6C4AABF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lastCell="F23" select="summary.budgetCategory.code == 'OOE' or summary.budgetCategory.code == 'MAC'")
jx:each(items="summary.groupedTransactions" var="transaction" lastCell="F23")
jx:each(items="transaction.transactions" var="transactions" lastCell="F23")</t>
        </r>
      </text>
    </comment>
    <comment ref="A28" authorId="0" shapeId="0" xr:uid="{EB5AA222-17F7-42A1-9EFE-878C2407F8E0}">
      <text>
        <r>
          <rPr>
            <b/>
            <sz val="9"/>
            <color indexed="81"/>
            <rFont val="Tahoma"/>
            <family val="2"/>
          </rPr>
          <t xml:space="preserve">jx:each (items="claimVO.claimSummaryDetails" var="summary" lastCell="F28" select="summary.budgetCategory.code == 'OST'")
jx:each(items="summary.groupedTransactions" var="transaction" lastCell="F28")
jx:each(items="transaction.transactions" var="transactions" lastCell="F28")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C51C188A-BAE5-4C57-A090-3DBDF7782757}">
      <text>
        <r>
          <rPr>
            <b/>
            <sz val="9"/>
            <color indexed="81"/>
            <rFont val="Tahoma"/>
            <family val="2"/>
          </rPr>
          <t xml:space="preserve">jx:each (items="claimVO.claimSummaryDetails" var="summary" lastCell="F34" select="summary.budgetCategory.code == 'RSS'")
jx:each(items="summary.groupedTransactions" var="transaction" lastCell="F34")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 xr:uid="{8E18223D-BB36-4DD0-AB62-A7AC7692927E}">
      <text>
        <r>
          <rPr>
            <b/>
            <sz val="9"/>
            <color indexed="81"/>
            <rFont val="Tahoma"/>
            <family val="2"/>
          </rPr>
          <t xml:space="preserve">jx:each(items="transaction.transactions" var="transactions" lastCell="F34")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  <author>Aswathy Raj</author>
  </authors>
  <commentList>
    <comment ref="A1" authorId="0" shapeId="0" xr:uid="{DCC68BD5-F733-4902-9555-FBD4A624A041}">
      <text>
        <r>
          <rPr>
            <b/>
            <sz val="9"/>
            <color indexed="81"/>
            <rFont val="Tahoma"/>
            <family val="2"/>
          </rPr>
          <t>jx:area(lastCell="K11")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 shapeId="0" xr:uid="{8E4194C8-2A21-41DC-B882-861CDB0D0C9C}">
      <text>
        <r>
          <rPr>
            <b/>
            <sz val="9"/>
            <color indexed="81"/>
            <rFont val="Tahoma"/>
            <family val="2"/>
          </rPr>
          <t>jx:area(lastCell="D12")
jx:each (items="claimVO.claimSummary" var="summary" lastCell="D12" select="summary.budgetCategory.code == 'EOM'")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2C981322-423D-406B-A7EA-B8FE04DC9913}">
      <text>
        <r>
          <rPr>
            <b/>
            <sz val="9"/>
            <color indexed="81"/>
            <rFont val="Tahoma"/>
            <family val="2"/>
          </rPr>
          <t>jx:area(lastCell="D13")
jx:each (items="claimVO.claimSummary" var="summary" lastCell="D13" select="summary.budgetCategory.code == 'EQT'")</t>
        </r>
      </text>
    </comment>
    <comment ref="B14" authorId="0" shapeId="0" xr:uid="{87E9AED2-1096-45BF-9614-25EFF3ADDE94}">
      <text>
        <r>
          <rPr>
            <b/>
            <sz val="9"/>
            <color indexed="81"/>
            <rFont val="Tahoma"/>
            <family val="2"/>
          </rPr>
          <t>jx:area(lastCell="D14")
jx:each (items="claimVO.claimSummary" var="summary" lastCell="D14" select="summary.budgetCategory.code == 'OOE'")</t>
        </r>
      </text>
    </comment>
    <comment ref="B15" authorId="0" shapeId="0" xr:uid="{63A949EA-F219-4E49-AA26-4187D2A97BED}">
      <text>
        <r>
          <rPr>
            <b/>
            <sz val="9"/>
            <color indexed="81"/>
            <rFont val="Tahoma"/>
            <family val="2"/>
          </rPr>
          <t>jx:area(lastCell="D15")
jx:each (items="claimVO.claimSummary" var="summary" lastCell="D15" select="summary.budgetCategory.code == 'OST'")</t>
        </r>
      </text>
    </comment>
    <comment ref="B16" authorId="0" shapeId="0" xr:uid="{312252AD-0FC2-4CC6-895A-CA43F5ED0B0B}">
      <text>
        <r>
          <rPr>
            <b/>
            <sz val="9"/>
            <color indexed="81"/>
            <rFont val="Tahoma"/>
            <family val="2"/>
          </rPr>
          <t>jx:area(lastCell="D16")
jx:each (items="claimVO.claimSummary" var="summary" lastCell="D16" select="summary.budgetCategory.code == 'RSS'")</t>
        </r>
      </text>
    </comment>
    <comment ref="A17" authorId="0" shapeId="0" xr:uid="{21158B69-3E91-438E-B8FA-472C723B32BA}">
      <text>
        <r>
          <rPr>
            <b/>
            <sz val="9"/>
            <color indexed="81"/>
            <rFont val="Tahoma"/>
            <family val="2"/>
          </rPr>
          <t>jx:area(lastCell="K22")</t>
        </r>
      </text>
    </comment>
    <comment ref="B23" authorId="0" shapeId="0" xr:uid="{F057B8BB-3D6A-4B5F-A018-5BC9F1E999E9}">
      <text>
        <r>
          <rPr>
            <b/>
            <sz val="9"/>
            <color indexed="81"/>
            <rFont val="Tahoma"/>
            <family val="2"/>
          </rPr>
          <t xml:space="preserve">jx:area(lastCell="D23")
jx:each(items="claimVO.claims" var="claims" lastCell="B23" direction="RIGHT" shiftMode="adjacent")
</t>
        </r>
      </text>
    </comment>
    <comment ref="B24" authorId="0" shapeId="0" xr:uid="{3B1606EB-E743-4101-9523-DAD95E0A7DC9}">
      <text>
        <r>
          <rPr>
            <b/>
            <sz val="9"/>
            <color indexed="81"/>
            <rFont val="Tahoma"/>
            <family val="2"/>
          </rPr>
          <t xml:space="preserve">jx:area(lastCell="D24")
jx:each(items="claimVO.claims" var="claims" lastCell="B24" direction="RIGHT" shiftMode="adjacent" )
jx:each(items="claims.claimSummaryList" var="summary" lastCell="B24" select="summary.budgetCategoryCode == 'EOM'")
</t>
        </r>
      </text>
    </comment>
    <comment ref="B25" authorId="0" shapeId="0" xr:uid="{50512F1D-DF65-43BA-AB6C-E6027415013F}">
      <text>
        <r>
          <rPr>
            <b/>
            <sz val="9"/>
            <color indexed="81"/>
            <rFont val="Tahoma"/>
            <family val="2"/>
          </rPr>
          <t xml:space="preserve">jx:area(lastCell="D25")
jx:each(items="claimVO.claims" var="claims" lastCell="B25" direction="RIGHT" shiftMode="adjacent")
jx:each(items="claims.claimSummaryList" var="summary" lastCell="B25" select="summary.budgetCategoryCode == 'EQT'")
</t>
        </r>
      </text>
    </comment>
    <comment ref="B26" authorId="0" shapeId="0" xr:uid="{FB2763FE-D3FC-4617-AF9E-BBAE860EC3A8}">
      <text>
        <r>
          <rPr>
            <b/>
            <sz val="9"/>
            <color indexed="81"/>
            <rFont val="Tahoma"/>
            <family val="2"/>
          </rPr>
          <t xml:space="preserve">jx:area(lastCell="D26")
jx:each(items="claimVO.claims" var="claims" lastCell="B26" direction="RIGHT" shiftMode="adjacent")
jx:each(items="claims.claimSummaryList" var="summary" lastCell="B26" select="summary.budgetCategoryCode == 'OOE'")
</t>
        </r>
      </text>
    </comment>
    <comment ref="B27" authorId="0" shapeId="0" xr:uid="{FCBA70D9-6725-4900-9852-215B3AB7783F}">
      <text>
        <r>
          <rPr>
            <b/>
            <sz val="9"/>
            <color indexed="81"/>
            <rFont val="Tahoma"/>
            <family val="2"/>
          </rPr>
          <t xml:space="preserve">jx:area(lastCell="D27")
jx:each(items="claimVO.claims" var="claims" lastCell="B27" direction="RIGHT" shiftMode="adjacent")
jx:each(items="claims.claimSummaryList" var="summary" lastCell="B27" select="summary.budgetCategoryCode == 'OST'")
</t>
        </r>
      </text>
    </comment>
    <comment ref="B28" authorId="0" shapeId="0" xr:uid="{6E2C056D-D2E0-4C29-87C0-134EC1D68303}">
      <text>
        <r>
          <rPr>
            <b/>
            <sz val="9"/>
            <color indexed="81"/>
            <rFont val="Tahoma"/>
            <family val="2"/>
          </rPr>
          <t xml:space="preserve">jx:area(lastCell="D28")
jx:each(items="claimVO.claims" var="claims" lastCell="B28" direction="RIGHT" shiftMode="adjacent")
jx:each(items="claims.claimSummaryList" var="summary" lastCell="B28" select="summary.budgetCategoryCode == 'RSS'")
</t>
        </r>
      </text>
    </comment>
    <comment ref="B29" authorId="0" shapeId="0" xr:uid="{C2D82272-73FE-4373-BFB9-AFC1FF425BA8}">
      <text>
        <r>
          <rPr>
            <b/>
            <sz val="9"/>
            <color indexed="81"/>
            <rFont val="Tahoma"/>
            <family val="2"/>
          </rPr>
          <t>jx:area(lastCell="D29")
jx:each(items="claimVO.claims" var="claims" lastCell="B29" direction="RIGHT" shiftMode="adjacent")</t>
        </r>
      </text>
    </comment>
    <comment ref="A30" authorId="1" shapeId="0" xr:uid="{DD5D9651-5330-4295-A9EF-9AB9245DD766}">
      <text>
        <r>
          <rPr>
            <b/>
            <sz val="9"/>
            <color indexed="81"/>
            <rFont val="Tahoma"/>
            <charset val="1"/>
          </rPr>
          <t>jx:area(lastCell="A30")</t>
        </r>
      </text>
    </comment>
    <comment ref="B30" authorId="0" shapeId="0" xr:uid="{371D6008-5BB7-464D-B652-0134C45AE0F2}">
      <text>
        <r>
          <rPr>
            <b/>
            <sz val="9"/>
            <color indexed="81"/>
            <rFont val="Tahoma"/>
            <family val="2"/>
          </rPr>
          <t>jx:area(lastCell="D30")
jx:each(items="claimVO.claims" var="claims" lastCell="B30" direction="RIGHT" shiftMode="adjacent")</t>
        </r>
      </text>
    </comment>
    <comment ref="B31" authorId="0" shapeId="0" xr:uid="{CAB54D3D-1872-46C3-9C2E-FD99ACDFEFF5}">
      <text>
        <r>
          <rPr>
            <b/>
            <sz val="9"/>
            <color indexed="81"/>
            <rFont val="Tahoma"/>
            <family val="2"/>
          </rPr>
          <t>jx:area(lastCell="D31")
jx:each(items="claimVO.claims" var="claims" lastCell="B31" direction="RIGHT" shiftMode="adjacent")</t>
        </r>
      </text>
    </comment>
    <comment ref="B32" authorId="0" shapeId="0" xr:uid="{B8782391-56DD-458A-9A77-47EAD10C6AE6}">
      <text>
        <r>
          <rPr>
            <b/>
            <sz val="9"/>
            <color indexed="81"/>
            <rFont val="Tahoma"/>
            <family val="2"/>
          </rPr>
          <t>jx:area(lastCell="D32")
jx:each(items="claimVO.claims" var="claims" lastCell="B32" direction="RIGHT" shiftMode="adjacent")</t>
        </r>
      </text>
    </comment>
    <comment ref="B33" authorId="0" shapeId="0" xr:uid="{39E2BEDD-7DC4-4B52-B5DB-2668830A22CC}">
      <text>
        <r>
          <rPr>
            <b/>
            <sz val="9"/>
            <color indexed="81"/>
            <rFont val="Tahoma"/>
            <family val="2"/>
          </rPr>
          <t>jx:area(lastCell="D33")
jx:each(items="claimVO.claims" var="claims" lastCell="B33" direction="RIGHT" shiftMode="adjacent")</t>
        </r>
      </text>
    </comment>
    <comment ref="B34" authorId="0" shapeId="0" xr:uid="{752E2706-090C-4700-B26C-79D96E09E6CB}">
      <text>
        <r>
          <rPr>
            <b/>
            <sz val="9"/>
            <color indexed="81"/>
            <rFont val="Tahoma"/>
            <family val="2"/>
          </rPr>
          <t>jx:area(lastCell="D34")
jx:each(items="claimVO.claims" var="claims" lastCell="B34" direction="RIGHT" shiftMode="adjacent")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<sst xmlns="http://schemas.openxmlformats.org/spreadsheetml/2006/main" count="222" uniqueCount="137">
  <si>
    <t>CONSOLIDATED STATEMENT</t>
  </si>
  <si>
    <t>FI Cost Centre</t>
  </si>
  <si>
    <t>FI Description</t>
  </si>
  <si>
    <t>Bank Name:</t>
  </si>
  <si>
    <t>Bank A/C Holder Name:</t>
  </si>
  <si>
    <t>Bank A/C No.:</t>
  </si>
  <si>
    <t>TOTAL</t>
  </si>
  <si>
    <t>(signature)</t>
  </si>
  <si>
    <t>(S$)</t>
  </si>
  <si>
    <t>Manpower (EOM)</t>
  </si>
  <si>
    <t>Other Operating Expenses (OOE)</t>
  </si>
  <si>
    <t>Equipment (EQP)</t>
  </si>
  <si>
    <t>Overseas Travel (OT)</t>
  </si>
  <si>
    <t>Research Scholarship (RS)</t>
  </si>
  <si>
    <t>Invoice Date</t>
  </si>
  <si>
    <t>Description of Expenditure Items</t>
  </si>
  <si>
    <t>Date of Original/Revised Budget Approval</t>
  </si>
  <si>
    <t xml:space="preserve"> Indicate Description of Original/Revised Line Item that is Matched to this Claim</t>
  </si>
  <si>
    <t>Total Amount Requested</t>
  </si>
  <si>
    <t>A.</t>
  </si>
  <si>
    <t>Total for this quarter</t>
  </si>
  <si>
    <t>B.</t>
  </si>
  <si>
    <t>Total for this Quarter</t>
  </si>
  <si>
    <t>C.</t>
  </si>
  <si>
    <t>D.</t>
  </si>
  <si>
    <t>E.</t>
  </si>
  <si>
    <t>F.</t>
  </si>
  <si>
    <r>
      <t>SUBTOTAL for Direct Costs</t>
    </r>
    <r>
      <rPr>
        <b/>
        <i/>
        <sz val="11"/>
        <color theme="1"/>
        <rFont val="Arial"/>
        <family val="2"/>
      </rPr>
      <t xml:space="preserve"> (calculated as A+B+C+D+E)</t>
    </r>
  </si>
  <si>
    <t xml:space="preserve">G. </t>
  </si>
  <si>
    <r>
      <t xml:space="preserve">Qualifying approved direct costs for computing 'Indirect Costs (Overheads)' </t>
    </r>
    <r>
      <rPr>
        <i/>
        <sz val="11"/>
        <color theme="1"/>
        <rFont val="Arial"/>
        <family val="2"/>
      </rPr>
      <t>(F-E)</t>
    </r>
  </si>
  <si>
    <t>H.</t>
  </si>
  <si>
    <r>
      <t xml:space="preserve">TOTAL EXPENDITURE </t>
    </r>
    <r>
      <rPr>
        <i/>
        <sz val="11"/>
        <color theme="1"/>
        <rFont val="Arial"/>
        <family val="2"/>
      </rPr>
      <t>(calculated as F+H)</t>
    </r>
  </si>
  <si>
    <t>Project Code:</t>
  </si>
  <si>
    <t xml:space="preserve">Name of Lead PI: </t>
  </si>
  <si>
    <t>Award No.:</t>
  </si>
  <si>
    <t xml:space="preserve">Host Institution : </t>
  </si>
  <si>
    <t xml:space="preserve">Start Date: </t>
  </si>
  <si>
    <t xml:space="preserve">End Date: </t>
  </si>
  <si>
    <t xml:space="preserve">Approved Budget: </t>
  </si>
  <si>
    <t>Original Budget</t>
  </si>
  <si>
    <t xml:space="preserve"> % Virement 
</t>
  </si>
  <si>
    <t>Approved By: [NRF / Host Institution]?</t>
  </si>
  <si>
    <t>NRF</t>
  </si>
  <si>
    <t>Direct Costs</t>
  </si>
  <si>
    <t>TOTAL APPROVED BUDGET</t>
  </si>
  <si>
    <t>Research Expenditure</t>
  </si>
  <si>
    <t>Total</t>
  </si>
  <si>
    <t xml:space="preserve">% Utilisation </t>
  </si>
  <si>
    <t>Direct Costs Claimed</t>
  </si>
  <si>
    <t>TOTAL (DIRECT AND INDIRECT COSTS) CLAIMED</t>
  </si>
  <si>
    <t>% of Total (Direct and Indirect Costs) Claimed</t>
  </si>
  <si>
    <t>Cumulative (Direct and Indirect Costs) Claimed</t>
  </si>
  <si>
    <t>% of Cumulative (Direct and Indirect Costs) Claimed</t>
  </si>
  <si>
    <r>
      <t xml:space="preserve">NATIONAL RESEARCH FUND DRAWDOWN FOR FUNDING INITIATIVES (FI) </t>
    </r>
    <r>
      <rPr>
        <b/>
        <sz val="12"/>
        <color rgb="FFFF0000"/>
        <rFont val="Arial"/>
        <family val="2"/>
      </rPr>
      <t>- Reimbursement</t>
    </r>
  </si>
  <si>
    <t>Funding Initiative Budget</t>
  </si>
  <si>
    <t>Revised Funding Initiative Budget</t>
  </si>
  <si>
    <t>(a)</t>
  </si>
  <si>
    <t>(b)</t>
  </si>
  <si>
    <t xml:space="preserve">(c) </t>
  </si>
  <si>
    <t xml:space="preserve">(d) </t>
  </si>
  <si>
    <t xml:space="preserve">(e) </t>
  </si>
  <si>
    <t xml:space="preserve">(f) </t>
  </si>
  <si>
    <t>(g)</t>
  </si>
  <si>
    <t xml:space="preserve">(h) = (g) + (f) - (e) </t>
  </si>
  <si>
    <t>Net Funds to be Received</t>
  </si>
  <si>
    <t>CERTIFICATION</t>
  </si>
  <si>
    <t xml:space="preserve">We hereby certify that the particulars provided above are true and correct, and verified against the original source documents. </t>
  </si>
  <si>
    <t>The request has also been made in accordance to the NR Fund Guide.</t>
  </si>
  <si>
    <t>(signature &amp; Date)</t>
  </si>
  <si>
    <t># Enclosed Bank Statement</t>
  </si>
  <si>
    <t>Please credit the fund to:</t>
  </si>
  <si>
    <t xml:space="preserve">DETAILS OF DRAWDOWN FOR NRF-NSFC 3RD JOINT GRANT CALL (EARTH SCIENCE &amp; SYNTHETIC BIOLOGY) </t>
  </si>
  <si>
    <t>NRF DRAWDOWN REQUEST (REIMBURSEMENT) FOR NRF-NSFC 3RD JOINT GRANT CALL (EARTH SCIENCE &amp; SYNTHETIC BIOLOGY)</t>
  </si>
  <si>
    <t xml:space="preserve">TRACKING ON VIREMENT AND UTILISATION RATE OF NRF-NSFC 3RD JOINT GRANT CALL (EARTH SCIENCE &amp; SYNTHETIC BIOLOGY) </t>
  </si>
  <si>
    <r>
      <t xml:space="preserve">Name of Programme Office: </t>
    </r>
    <r>
      <rPr>
        <b/>
        <sz val="12"/>
        <color rgb="FF0000FF"/>
        <rFont val="Arial"/>
        <family val="2"/>
      </rPr>
      <t>Nanyang Technological University</t>
    </r>
  </si>
  <si>
    <r>
      <t xml:space="preserve">Host Institution:  </t>
    </r>
    <r>
      <rPr>
        <b/>
        <sz val="11"/>
        <color rgb="FF0000FF"/>
        <rFont val="Arial"/>
        <family val="2"/>
      </rPr>
      <t>Nanyang Technological University</t>
    </r>
  </si>
  <si>
    <r>
      <t xml:space="preserve">FOR THE MONTHS OF </t>
    </r>
    <r>
      <rPr>
        <b/>
        <u/>
        <sz val="12"/>
        <color rgb="FF0000FF"/>
        <rFont val="Arial"/>
        <family val="2"/>
      </rPr>
      <t>${claimVO.claimStartAndEndYear}</t>
    </r>
  </si>
  <si>
    <t>${claimVO.claim.award.principalInvestigator}
${claimVO.claim.award.sponsorAwardNumber}
${claimVO.projectDuration}
${claimVO.claim.accountNumber}</t>
  </si>
  <si>
    <t>${summary.originalApprovedBudget}</t>
  </si>
  <si>
    <t>${summary.latestApprovedBudget}</t>
  </si>
  <si>
    <t>${summary.prevClaimsTotalAmount}</t>
  </si>
  <si>
    <t>${summary.amountRequested}</t>
  </si>
  <si>
    <t>${claimVO.summaryCalculations.subTotalOfInDirectCost.subTotalInDirOriginalApproved}</t>
  </si>
  <si>
    <t xml:space="preserve">${claimVO.claim.foDesignation} </t>
  </si>
  <si>
    <t>Date : ${claimVO.claimSubmissionDate}</t>
  </si>
  <si>
    <t xml:space="preserve">${claimVO.claim.payeeBank}  </t>
  </si>
  <si>
    <t>${claimVO.claim.payeeAccountName}</t>
  </si>
  <si>
    <t>${claimVO.claim.payeeAccountNumber}</t>
  </si>
  <si>
    <r>
      <t xml:space="preserve">FOR THE PERIOD OF </t>
    </r>
    <r>
      <rPr>
        <b/>
        <u/>
        <sz val="11"/>
        <color rgb="FF0000FF"/>
        <rFont val="Arial"/>
        <family val="2"/>
      </rPr>
      <t>${claimVO.claimStartAndEndYear}</t>
    </r>
  </si>
  <si>
    <t>${transaction.manpowerFullName}</t>
  </si>
  <si>
    <t>${transactions.invoiceDate}</t>
  </si>
  <si>
    <t>${transactions.totalAmount}</t>
  </si>
  <si>
    <t>${transactions.descriptionOfExpenditure}</t>
  </si>
  <si>
    <t>: ${claimVO.claim.award.principalInvestigator}</t>
  </si>
  <si>
    <t>: ${claimVO.claim.award.sponsorAwardNumber}</t>
  </si>
  <si>
    <t>: Nanyang Technological University</t>
  </si>
  <si>
    <t>: ${claimVO.awardStartDate}</t>
  </si>
  <si>
    <t>: ${claimVO.awardEndDate}</t>
  </si>
  <si>
    <t>${claimVO.summaryCalculations.subTotalOfDirectCost.subTotalDirVirment}%</t>
  </si>
  <si>
    <t>${claimVO.financialYear}</t>
  </si>
  <si>
    <r>
      <t xml:space="preserve">Name of Lead PI and Award No.:  </t>
    </r>
    <r>
      <rPr>
        <b/>
        <sz val="11"/>
        <color rgb="FF0000FF"/>
        <rFont val="Arial"/>
        <family val="2"/>
      </rPr>
      <t>${claimVO.claim.award.principalInvestigator} ${claimVO.claim.award.sponsorAwardNumber} ${claimVO.claim.accountNumber}</t>
    </r>
  </si>
  <si>
    <t>${claimVO.summaryCalculations.subTotalOfInDirectCost.subTotalInDirLatestApproved}</t>
  </si>
  <si>
    <t>$[SUM(U_(F13,F14))]</t>
  </si>
  <si>
    <t>$[SUM(U_(F28,F29))]</t>
  </si>
  <si>
    <t>$[SUM(U_(F23,F24))]</t>
  </si>
  <si>
    <t>$[SUM(U_(F18,F19))]</t>
  </si>
  <si>
    <t>$[SUM(U_(F34,F35))]</t>
  </si>
  <si>
    <t>$[SUM(U_(F15,F20,F25,F30,F36))]</t>
  </si>
  <si>
    <t>${index+1}</t>
  </si>
  <si>
    <t>${summary.virementPercentage}%</t>
  </si>
  <si>
    <t>${claimVO.claimStartAndEndYear}</t>
  </si>
  <si>
    <t>Revised Funding Initiative &lt;${claimVO.financialYear}&gt; Budget</t>
  </si>
  <si>
    <t>Funding Initiative &lt;${claimVO.financialYear}&gt; Budget</t>
  </si>
  <si>
    <t>${claimVO.claim.rsoName}</t>
  </si>
  <si>
    <t xml:space="preserve">${claimVO.claim.rsoDesignation}  </t>
  </si>
  <si>
    <t xml:space="preserve">Cumulative drawdown
as at </t>
  </si>
  <si>
    <t>${claimVO.previousClaimEndDate}</t>
  </si>
  <si>
    <t xml:space="preserve">Cumulative Expenditure 
as at </t>
  </si>
  <si>
    <t xml:space="preserve">Actual Expenditure 
as at  </t>
  </si>
  <si>
    <t xml:space="preserve">Funds to be Credited/Disbursed for </t>
  </si>
  <si>
    <t>${transaction.manpowerJobDescription}</t>
  </si>
  <si>
    <t>Revised Budget 
(as at DD MMM YYYY)</t>
  </si>
  <si>
    <t>${claims.claimStartAndEndYear}</t>
  </si>
  <si>
    <t>${claims.subTotalDirectCost}</t>
  </si>
  <si>
    <t>${claims.totalDirectAndIndirectClaimed}</t>
  </si>
  <si>
    <t>${transactions.adjustedTotal}</t>
  </si>
  <si>
    <t>${claimVO.claim.foName}</t>
  </si>
  <si>
    <t>${claimVO.summaryOOE_MACSumValues.originalApprovedBudgetForOOEMAC}</t>
  </si>
  <si>
    <t>${claimVO.summaryOOE_MACSumValues.latestApprovedBudgetForOOEMAC}</t>
  </si>
  <si>
    <t>${claimVO.summaryOOE_MACSumValues.prevClaimsTotalAmountForOOEMAC}</t>
  </si>
  <si>
    <t>${claimVO.summaryOOE_MACSumValues.amountRequestedForOOEMAC}</t>
  </si>
  <si>
    <t>${(summary.internalOrderCode).substring(15, 20)}</t>
  </si>
  <si>
    <r>
      <t>Indirect Costs (Overheads)</t>
    </r>
    <r>
      <rPr>
        <i/>
        <sz val="11"/>
        <color theme="1"/>
        <rFont val="Arial"/>
        <family val="2"/>
      </rPr>
      <t xml:space="preserve"> (${claimVO.claim.overHeadPercentage}% of G)</t>
    </r>
  </si>
  <si>
    <t>Indirect Costs (${claimVO.oHPercentage}% Overheads)</t>
  </si>
  <si>
    <t>Indirect Costs (${claimVO.oHPercentage}%  Overheads)</t>
  </si>
  <si>
    <t>Indirect Costs (${claimVO.oHPercentage}% Overheads) Claimed</t>
  </si>
  <si>
    <t>${claimVO.claim.overHeadPercentage}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</si>
</sst>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/mmm/yyyy;@"/>
    <numFmt numFmtId="166" formatCode="dd\-mmm\-yyyy"/>
    <numFmt numFmtId="167" formatCode="&quot;$&quot;#,##0"/>
    <numFmt numFmtId="168" formatCode="[$-14809]d\ mmm\ yyyy;@"/>
    <numFmt numFmtId="169" formatCode="_-[$$-1004]* #,##0.00_-;\-[$$-1004]* #,##0.00_-;_-[$$-1004]* &quot;-&quot;??_-;_-@_-"/>
    <numFmt numFmtId="170" formatCode="dd\/mm\/yyyy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indexed="9"/>
      <name val="Arial"/>
      <family val="2"/>
    </font>
    <font>
      <b/>
      <sz val="13"/>
      <color theme="1"/>
      <name val="Arial"/>
      <family val="2"/>
    </font>
    <font>
      <b/>
      <u/>
      <sz val="1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u/>
      <sz val="12"/>
      <color rgb="FF0000FF"/>
      <name val="Arial"/>
      <family val="2"/>
    </font>
    <font>
      <b/>
      <u/>
      <sz val="11"/>
      <color rgb="FF0000FF"/>
      <name val="Arial"/>
      <family val="2"/>
    </font>
    <font>
      <i/>
      <sz val="11"/>
      <color rgb="FF0000FF"/>
      <name val="Arial"/>
      <family val="2"/>
    </font>
    <font>
      <sz val="10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rgb="FF0000FF"/>
      <name val="Arial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Arial"/>
      <family val="2"/>
    </font>
    <font>
      <b/>
      <sz val="9"/>
      <color indexed="81"/>
      <name val="Tahoma"/>
      <charset val="1"/>
    </font>
    <font>
      <i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164" fontId="32" fillId="0" borderId="0" applyFont="0" applyFill="0" applyBorder="0" applyAlignment="0" applyProtection="0"/>
  </cellStyleXfs>
  <cellXfs count="253">
    <xf numFmtId="0" fontId="0" fillId="0" borderId="0" xfId="0"/>
    <xf numFmtId="0" fontId="5" fillId="0" borderId="0" xfId="3" applyAlignment="1">
      <alignment wrapText="1"/>
    </xf>
    <xf numFmtId="44" fontId="15" fillId="0" borderId="0" xfId="4" applyFont="1" applyAlignment="1">
      <alignment horizontal="center"/>
    </xf>
    <xf numFmtId="0" fontId="5" fillId="0" borderId="0" xfId="3"/>
    <xf numFmtId="0" fontId="16" fillId="0" borderId="0" xfId="3" applyFont="1" applyAlignment="1">
      <alignment vertical="center"/>
    </xf>
    <xf numFmtId="44" fontId="16" fillId="0" borderId="0" xfId="4" applyFont="1" applyFill="1" applyBorder="1" applyAlignment="1">
      <alignment horizontal="center" vertical="center" wrapText="1"/>
    </xf>
    <xf numFmtId="0" fontId="18" fillId="2" borderId="7" xfId="3" applyFont="1" applyFill="1" applyBorder="1" applyAlignment="1">
      <alignment vertical="center" wrapText="1"/>
    </xf>
    <xf numFmtId="0" fontId="16" fillId="2" borderId="8" xfId="3" applyFont="1" applyFill="1" applyBorder="1" applyAlignment="1">
      <alignment horizontal="left" vertical="top"/>
    </xf>
    <xf numFmtId="0" fontId="16" fillId="2" borderId="7" xfId="3" applyFont="1" applyFill="1" applyBorder="1" applyAlignment="1">
      <alignment horizontal="left" vertical="top" wrapText="1"/>
    </xf>
    <xf numFmtId="0" fontId="11" fillId="3" borderId="9" xfId="3" applyFont="1" applyFill="1" applyBorder="1" applyAlignment="1">
      <alignment horizontal="left" vertical="top" wrapText="1"/>
    </xf>
    <xf numFmtId="0" fontId="11" fillId="3" borderId="2" xfId="3" applyFont="1" applyFill="1" applyBorder="1" applyAlignment="1">
      <alignment horizontal="left" vertical="top" wrapText="1"/>
    </xf>
    <xf numFmtId="0" fontId="14" fillId="0" borderId="0" xfId="3" applyFont="1"/>
    <xf numFmtId="0" fontId="19" fillId="0" borderId="0" xfId="3" applyFont="1" applyAlignment="1">
      <alignment horizontal="center" vertical="center" wrapText="1"/>
    </xf>
    <xf numFmtId="0" fontId="18" fillId="0" borderId="10" xfId="3" applyFont="1" applyBorder="1" applyAlignment="1">
      <alignment vertical="center" wrapText="1"/>
    </xf>
    <xf numFmtId="0" fontId="16" fillId="0" borderId="4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8" fillId="4" borderId="10" xfId="3" applyFont="1" applyFill="1" applyBorder="1" applyAlignment="1">
      <alignment vertical="center" wrapText="1"/>
    </xf>
    <xf numFmtId="0" fontId="16" fillId="4" borderId="5" xfId="3" applyFont="1" applyFill="1" applyBorder="1" applyAlignment="1">
      <alignment horizontal="left" vertical="center"/>
    </xf>
    <xf numFmtId="0" fontId="16" fillId="4" borderId="4" xfId="3" applyFont="1" applyFill="1" applyBorder="1" applyAlignment="1">
      <alignment horizontal="left" vertical="center"/>
    </xf>
    <xf numFmtId="0" fontId="11" fillId="4" borderId="4" xfId="3" applyFont="1" applyFill="1" applyBorder="1" applyAlignment="1">
      <alignment horizontal="left" vertical="center"/>
    </xf>
    <xf numFmtId="0" fontId="16" fillId="0" borderId="0" xfId="3" applyFont="1" applyAlignment="1">
      <alignment horizontal="left" vertical="center"/>
    </xf>
    <xf numFmtId="15" fontId="20" fillId="5" borderId="6" xfId="3" applyNumberFormat="1" applyFont="1" applyFill="1" applyBorder="1" applyAlignment="1">
      <alignment horizontal="center" vertical="top" wrapText="1"/>
    </xf>
    <xf numFmtId="44" fontId="10" fillId="5" borderId="4" xfId="4" applyFont="1" applyFill="1" applyBorder="1" applyAlignment="1">
      <alignment horizontal="left" vertical="top" wrapText="1"/>
    </xf>
    <xf numFmtId="44" fontId="22" fillId="0" borderId="0" xfId="4" applyFont="1" applyFill="1" applyBorder="1" applyAlignment="1">
      <alignment horizontal="left" vertical="top" wrapText="1"/>
    </xf>
    <xf numFmtId="15" fontId="23" fillId="0" borderId="10" xfId="3" applyNumberFormat="1" applyFont="1" applyBorder="1" applyAlignment="1">
      <alignment horizontal="left" vertical="top" wrapText="1"/>
    </xf>
    <xf numFmtId="0" fontId="24" fillId="0" borderId="0" xfId="3" applyFont="1"/>
    <xf numFmtId="44" fontId="23" fillId="0" borderId="0" xfId="4" applyFont="1" applyFill="1" applyBorder="1" applyAlignment="1">
      <alignment horizontal="center" vertical="center" wrapText="1"/>
    </xf>
    <xf numFmtId="0" fontId="26" fillId="6" borderId="12" xfId="3" applyFont="1" applyFill="1" applyBorder="1" applyAlignment="1">
      <alignment horizontal="left" vertical="top" wrapText="1"/>
    </xf>
    <xf numFmtId="0" fontId="10" fillId="0" borderId="5" xfId="3" applyFont="1" applyBorder="1" applyAlignment="1">
      <alignment vertical="center" wrapText="1"/>
    </xf>
    <xf numFmtId="0" fontId="23" fillId="0" borderId="0" xfId="3" applyFont="1"/>
    <xf numFmtId="44" fontId="11" fillId="0" borderId="0" xfId="4" applyFont="1" applyFill="1" applyBorder="1" applyAlignment="1">
      <alignment horizontal="center" vertical="top" wrapText="1"/>
    </xf>
    <xf numFmtId="0" fontId="16" fillId="0" borderId="0" xfId="3" applyFont="1"/>
    <xf numFmtId="15" fontId="26" fillId="6" borderId="10" xfId="3" applyNumberFormat="1" applyFont="1" applyFill="1" applyBorder="1" applyAlignment="1">
      <alignment horizontal="left" vertical="top" wrapText="1"/>
    </xf>
    <xf numFmtId="0" fontId="23" fillId="0" borderId="10" xfId="3" applyFont="1" applyBorder="1" applyAlignment="1">
      <alignment vertical="top" wrapText="1"/>
    </xf>
    <xf numFmtId="0" fontId="10" fillId="0" borderId="10" xfId="3" applyFont="1" applyBorder="1" applyAlignment="1">
      <alignment horizontal="left" vertical="top" wrapText="1"/>
    </xf>
    <xf numFmtId="44" fontId="23" fillId="0" borderId="0" xfId="4" applyFont="1" applyFill="1" applyBorder="1" applyAlignment="1">
      <alignment horizontal="center" vertical="top" wrapText="1"/>
    </xf>
    <xf numFmtId="0" fontId="24" fillId="0" borderId="0" xfId="3" applyFont="1" applyAlignment="1">
      <alignment horizontal="left" vertical="center" wrapText="1"/>
    </xf>
    <xf numFmtId="0" fontId="24" fillId="0" borderId="0" xfId="3" applyFont="1" applyAlignment="1">
      <alignment horizontal="left" vertical="top" wrapText="1"/>
    </xf>
    <xf numFmtId="0" fontId="26" fillId="6" borderId="10" xfId="3" applyFont="1" applyFill="1" applyBorder="1" applyAlignment="1">
      <alignment vertical="top" wrapText="1"/>
    </xf>
    <xf numFmtId="0" fontId="11" fillId="0" borderId="0" xfId="3" applyFont="1" applyAlignment="1">
      <alignment vertical="center"/>
    </xf>
    <xf numFmtId="0" fontId="10" fillId="0" borderId="0" xfId="3" applyFont="1"/>
    <xf numFmtId="0" fontId="10" fillId="0" borderId="0" xfId="3" applyFont="1" applyAlignment="1">
      <alignment vertical="center" wrapText="1"/>
    </xf>
    <xf numFmtId="0" fontId="10" fillId="0" borderId="0" xfId="3" applyFont="1" applyAlignment="1">
      <alignment horizontal="right" vertical="center" wrapText="1"/>
    </xf>
    <xf numFmtId="167" fontId="10" fillId="0" borderId="0" xfId="5" applyNumberFormat="1" applyFont="1" applyFill="1" applyBorder="1" applyAlignment="1">
      <alignment vertical="top" wrapText="1"/>
    </xf>
    <xf numFmtId="6" fontId="23" fillId="0" borderId="0" xfId="3" applyNumberFormat="1" applyFont="1"/>
    <xf numFmtId="0" fontId="10" fillId="2" borderId="13" xfId="3" applyFont="1" applyFill="1" applyBorder="1"/>
    <xf numFmtId="0" fontId="16" fillId="2" borderId="14" xfId="3" applyFont="1" applyFill="1" applyBorder="1" applyAlignment="1">
      <alignment horizontal="right" vertical="top"/>
    </xf>
    <xf numFmtId="0" fontId="11" fillId="2" borderId="14" xfId="3" applyFont="1" applyFill="1" applyBorder="1" applyAlignment="1">
      <alignment horizontal="right" vertical="top" wrapText="1"/>
    </xf>
    <xf numFmtId="0" fontId="11" fillId="2" borderId="15" xfId="3" applyFont="1" applyFill="1" applyBorder="1"/>
    <xf numFmtId="0" fontId="16" fillId="2" borderId="16" xfId="3" applyFont="1" applyFill="1" applyBorder="1" applyAlignment="1">
      <alignment horizontal="right" vertical="top"/>
    </xf>
    <xf numFmtId="0" fontId="11" fillId="2" borderId="16" xfId="3" applyFont="1" applyFill="1" applyBorder="1" applyAlignment="1">
      <alignment horizontal="left" vertical="top" wrapText="1"/>
    </xf>
    <xf numFmtId="0" fontId="10" fillId="0" borderId="17" xfId="3" applyFont="1" applyBorder="1" applyAlignment="1">
      <alignment vertical="center" wrapText="1"/>
    </xf>
    <xf numFmtId="44" fontId="23" fillId="0" borderId="0" xfId="3" applyNumberFormat="1" applyFont="1"/>
    <xf numFmtId="0" fontId="10" fillId="0" borderId="18" xfId="3" applyFont="1" applyBorder="1" applyAlignment="1">
      <alignment vertical="center" wrapText="1"/>
    </xf>
    <xf numFmtId="10" fontId="10" fillId="0" borderId="18" xfId="3" applyNumberFormat="1" applyFont="1" applyBorder="1" applyAlignment="1">
      <alignment horizontal="right" vertical="top"/>
    </xf>
    <xf numFmtId="10" fontId="23" fillId="0" borderId="18" xfId="3" applyNumberFormat="1" applyFont="1" applyBorder="1" applyAlignment="1">
      <alignment horizontal="right" vertical="top"/>
    </xf>
    <xf numFmtId="10" fontId="23" fillId="8" borderId="19" xfId="3" applyNumberFormat="1" applyFont="1" applyFill="1" applyBorder="1" applyAlignment="1">
      <alignment horizontal="right" vertical="top"/>
    </xf>
    <xf numFmtId="0" fontId="11" fillId="0" borderId="20" xfId="3" applyFont="1" applyBorder="1" applyAlignment="1">
      <alignment vertical="center" wrapText="1"/>
    </xf>
    <xf numFmtId="10" fontId="16" fillId="8" borderId="20" xfId="3" applyNumberFormat="1" applyFont="1" applyFill="1" applyBorder="1" applyAlignment="1">
      <alignment horizontal="right" vertical="top"/>
    </xf>
    <xf numFmtId="44" fontId="10" fillId="0" borderId="0" xfId="3" applyNumberFormat="1" applyFont="1"/>
    <xf numFmtId="0" fontId="17" fillId="0" borderId="0" xfId="3" applyFont="1"/>
    <xf numFmtId="0" fontId="24" fillId="0" borderId="14" xfId="3" applyFont="1" applyBorder="1" applyAlignment="1">
      <alignment horizontal="right"/>
    </xf>
    <xf numFmtId="0" fontId="23" fillId="0" borderId="18" xfId="3" applyFont="1" applyBorder="1"/>
    <xf numFmtId="44" fontId="23" fillId="0" borderId="4" xfId="2" applyFont="1" applyBorder="1" applyAlignment="1">
      <alignment vertical="center" wrapText="1"/>
    </xf>
    <xf numFmtId="0" fontId="10" fillId="6" borderId="6" xfId="3" applyFont="1" applyFill="1" applyBorder="1" applyAlignment="1">
      <alignment horizontal="left" vertical="top" wrapText="1"/>
    </xf>
    <xf numFmtId="0" fontId="0" fillId="0" borderId="10" xfId="0" applyBorder="1"/>
    <xf numFmtId="0" fontId="30" fillId="0" borderId="0" xfId="7" applyFont="1"/>
    <xf numFmtId="0" fontId="3" fillId="0" borderId="0" xfId="7"/>
    <xf numFmtId="0" fontId="7" fillId="0" borderId="0" xfId="7" applyFont="1"/>
    <xf numFmtId="0" fontId="8" fillId="0" borderId="0" xfId="7" applyFont="1"/>
    <xf numFmtId="0" fontId="9" fillId="0" borderId="0" xfId="7" applyFont="1"/>
    <xf numFmtId="0" fontId="10" fillId="0" borderId="28" xfId="7" applyFont="1" applyBorder="1" applyAlignment="1">
      <alignment horizontal="left" vertical="top"/>
    </xf>
    <xf numFmtId="0" fontId="10" fillId="0" borderId="0" xfId="7" applyFont="1"/>
    <xf numFmtId="0" fontId="29" fillId="0" borderId="0" xfId="7" applyFont="1"/>
    <xf numFmtId="0" fontId="10" fillId="0" borderId="2" xfId="7" applyFont="1" applyBorder="1"/>
    <xf numFmtId="165" fontId="10" fillId="0" borderId="0" xfId="7" applyNumberFormat="1" applyFont="1" applyAlignment="1">
      <alignment horizontal="left"/>
    </xf>
    <xf numFmtId="0" fontId="10" fillId="0" borderId="0" xfId="7" quotePrefix="1" applyFont="1"/>
    <xf numFmtId="0" fontId="11" fillId="0" borderId="0" xfId="7" applyFont="1"/>
    <xf numFmtId="0" fontId="10" fillId="0" borderId="0" xfId="7" applyFont="1" applyAlignment="1">
      <alignment vertical="center"/>
    </xf>
    <xf numFmtId="0" fontId="11" fillId="0" borderId="1" xfId="7" applyFont="1" applyBorder="1" applyAlignment="1">
      <alignment horizontal="center" wrapText="1"/>
    </xf>
    <xf numFmtId="164" fontId="11" fillId="0" borderId="1" xfId="8" applyFont="1" applyBorder="1" applyAlignment="1">
      <alignment horizontal="center" wrapText="1"/>
    </xf>
    <xf numFmtId="0" fontId="2" fillId="0" borderId="0" xfId="7" applyFont="1"/>
    <xf numFmtId="0" fontId="10" fillId="0" borderId="2" xfId="7" applyFont="1" applyBorder="1" applyAlignment="1">
      <alignment horizontal="center" wrapText="1"/>
    </xf>
    <xf numFmtId="168" fontId="10" fillId="0" borderId="2" xfId="7" applyNumberFormat="1" applyFont="1" applyBorder="1" applyAlignment="1">
      <alignment horizontal="center" wrapText="1"/>
    </xf>
    <xf numFmtId="0" fontId="10" fillId="0" borderId="3" xfId="7" applyFont="1" applyBorder="1"/>
    <xf numFmtId="0" fontId="10" fillId="0" borderId="3" xfId="7" applyFont="1" applyBorder="1" applyAlignment="1">
      <alignment horizontal="center" vertical="top"/>
    </xf>
    <xf numFmtId="164" fontId="10" fillId="0" borderId="3" xfId="8" applyFont="1" applyBorder="1" applyAlignment="1">
      <alignment horizontal="center" vertical="top" wrapText="1"/>
    </xf>
    <xf numFmtId="164" fontId="10" fillId="0" borderId="3" xfId="8" quotePrefix="1" applyFont="1" applyBorder="1" applyAlignment="1">
      <alignment horizontal="center" vertical="top" wrapText="1"/>
    </xf>
    <xf numFmtId="0" fontId="11" fillId="0" borderId="27" xfId="7" applyFont="1" applyBorder="1"/>
    <xf numFmtId="0" fontId="11" fillId="0" borderId="27" xfId="7" applyFont="1" applyBorder="1" applyAlignment="1">
      <alignment horizontal="center" vertical="top"/>
    </xf>
    <xf numFmtId="164" fontId="2" fillId="0" borderId="0" xfId="7" applyNumberFormat="1" applyFont="1"/>
    <xf numFmtId="43" fontId="2" fillId="0" borderId="0" xfId="10" applyNumberFormat="1" applyFont="1"/>
    <xf numFmtId="0" fontId="10" fillId="0" borderId="0" xfId="7" applyFont="1" applyAlignment="1">
      <alignment horizontal="left"/>
    </xf>
    <xf numFmtId="164" fontId="10" fillId="0" borderId="0" xfId="8" applyFont="1" applyFill="1" applyAlignment="1">
      <alignment horizontal="right" vertical="top" wrapText="1"/>
    </xf>
    <xf numFmtId="164" fontId="10" fillId="0" borderId="0" xfId="8" applyFont="1" applyAlignment="1">
      <alignment horizontal="right" vertical="top" wrapText="1"/>
    </xf>
    <xf numFmtId="39" fontId="10" fillId="0" borderId="0" xfId="8" applyNumberFormat="1" applyFont="1" applyAlignment="1">
      <alignment horizontal="right" vertical="top" wrapText="1"/>
    </xf>
    <xf numFmtId="39" fontId="10" fillId="0" borderId="0" xfId="7" applyNumberFormat="1" applyFont="1" applyAlignment="1">
      <alignment horizontal="right"/>
    </xf>
    <xf numFmtId="39" fontId="10" fillId="0" borderId="0" xfId="7" applyNumberFormat="1" applyFont="1"/>
    <xf numFmtId="0" fontId="14" fillId="0" borderId="0" xfId="3" applyFont="1" applyAlignment="1">
      <alignment wrapText="1"/>
    </xf>
    <xf numFmtId="0" fontId="33" fillId="0" borderId="0" xfId="7" applyFont="1"/>
    <xf numFmtId="0" fontId="34" fillId="0" borderId="0" xfId="7" applyFont="1" applyAlignment="1">
      <alignment horizontal="left" vertical="center"/>
    </xf>
    <xf numFmtId="0" fontId="39" fillId="0" borderId="10" xfId="0" applyFont="1" applyBorder="1"/>
    <xf numFmtId="0" fontId="33" fillId="0" borderId="6" xfId="3" applyFont="1" applyBorder="1" applyAlignment="1">
      <alignment horizontal="center" vertical="center" wrapText="1"/>
    </xf>
    <xf numFmtId="0" fontId="33" fillId="9" borderId="4" xfId="3" applyFont="1" applyFill="1" applyBorder="1" applyAlignment="1">
      <alignment vertical="center" wrapText="1"/>
    </xf>
    <xf numFmtId="0" fontId="33" fillId="0" borderId="2" xfId="3" applyFont="1" applyBorder="1" applyAlignment="1">
      <alignment vertical="center" wrapText="1"/>
    </xf>
    <xf numFmtId="166" fontId="33" fillId="9" borderId="2" xfId="3" applyNumberFormat="1" applyFont="1" applyFill="1" applyBorder="1" applyAlignment="1">
      <alignment horizontal="left"/>
    </xf>
    <xf numFmtId="166" fontId="33" fillId="0" borderId="2" xfId="3" applyNumberFormat="1" applyFont="1" applyBorder="1" applyAlignment="1">
      <alignment horizontal="left"/>
    </xf>
    <xf numFmtId="44" fontId="33" fillId="9" borderId="18" xfId="3" applyNumberFormat="1" applyFont="1" applyFill="1" applyBorder="1" applyAlignment="1">
      <alignment horizontal="right" vertical="top"/>
    </xf>
    <xf numFmtId="44" fontId="34" fillId="0" borderId="20" xfId="3" applyNumberFormat="1" applyFont="1" applyBorder="1" applyAlignment="1">
      <alignment horizontal="right" vertical="top"/>
    </xf>
    <xf numFmtId="44" fontId="33" fillId="0" borderId="17" xfId="3" applyNumberFormat="1" applyFont="1" applyBorder="1" applyAlignment="1">
      <alignment horizontal="right" vertical="top"/>
    </xf>
    <xf numFmtId="44" fontId="33" fillId="0" borderId="18" xfId="3" applyNumberFormat="1" applyFont="1" applyBorder="1" applyAlignment="1">
      <alignment horizontal="right" vertical="top"/>
    </xf>
    <xf numFmtId="164" fontId="10" fillId="0" borderId="0" xfId="8" applyFont="1" applyFill="1" applyBorder="1" applyAlignment="1">
      <alignment horizontal="center" vertical="top" wrapText="1"/>
    </xf>
    <xf numFmtId="164" fontId="33" fillId="0" borderId="2" xfId="8" applyFont="1" applyFill="1" applyBorder="1" applyAlignment="1">
      <alignment horizontal="center" wrapText="1"/>
    </xf>
    <xf numFmtId="168" fontId="33" fillId="0" borderId="2" xfId="8" applyNumberFormat="1" applyFont="1" applyFill="1" applyBorder="1" applyAlignment="1">
      <alignment horizontal="center" wrapText="1"/>
    </xf>
    <xf numFmtId="168" fontId="33" fillId="0" borderId="2" xfId="8" quotePrefix="1" applyNumberFormat="1" applyFont="1" applyFill="1" applyBorder="1" applyAlignment="1">
      <alignment horizontal="center" wrapText="1"/>
    </xf>
    <xf numFmtId="14" fontId="10" fillId="6" borderId="25" xfId="3" applyNumberFormat="1" applyFont="1" applyFill="1" applyBorder="1" applyAlignment="1">
      <alignment horizontal="left" vertical="top" wrapText="1"/>
    </xf>
    <xf numFmtId="14" fontId="10" fillId="0" borderId="10" xfId="3" applyNumberFormat="1" applyFont="1" applyBorder="1" applyAlignment="1">
      <alignment horizontal="left" vertical="top" wrapText="1"/>
    </xf>
    <xf numFmtId="44" fontId="33" fillId="0" borderId="0" xfId="4" applyFont="1" applyFill="1" applyBorder="1" applyAlignment="1">
      <alignment horizontal="center" vertical="top" wrapText="1"/>
    </xf>
    <xf numFmtId="0" fontId="34" fillId="0" borderId="0" xfId="3" applyFont="1"/>
    <xf numFmtId="44" fontId="33" fillId="0" borderId="0" xfId="4" applyFont="1" applyFill="1" applyBorder="1" applyAlignment="1">
      <alignment horizontal="center" vertical="center" wrapText="1"/>
    </xf>
    <xf numFmtId="0" fontId="33" fillId="0" borderId="0" xfId="3" applyFont="1"/>
    <xf numFmtId="0" fontId="33" fillId="0" borderId="0" xfId="3" applyFont="1" applyAlignment="1">
      <alignment horizontal="left" vertical="center" wrapText="1"/>
    </xf>
    <xf numFmtId="0" fontId="33" fillId="0" borderId="0" xfId="3" applyFont="1" applyAlignment="1">
      <alignment horizontal="left" vertical="top" wrapText="1"/>
    </xf>
    <xf numFmtId="44" fontId="43" fillId="0" borderId="0" xfId="4" applyFont="1" applyFill="1" applyBorder="1" applyAlignment="1">
      <alignment horizontal="left" vertical="top" wrapText="1"/>
    </xf>
    <xf numFmtId="0" fontId="44" fillId="0" borderId="0" xfId="3" applyFont="1"/>
    <xf numFmtId="14" fontId="23" fillId="0" borderId="10" xfId="3" applyNumberFormat="1" applyFont="1" applyBorder="1" applyAlignment="1">
      <alignment horizontal="left" vertical="top" wrapText="1"/>
    </xf>
    <xf numFmtId="14" fontId="26" fillId="6" borderId="11" xfId="3" applyNumberFormat="1" applyFont="1" applyFill="1" applyBorder="1" applyAlignment="1">
      <alignment horizontal="left" vertical="top" wrapText="1"/>
    </xf>
    <xf numFmtId="0" fontId="5" fillId="0" borderId="0" xfId="3" applyAlignment="1">
      <alignment horizontal="left" wrapText="1"/>
    </xf>
    <xf numFmtId="0" fontId="16" fillId="0" borderId="5" xfId="3" applyFont="1" applyBorder="1" applyAlignment="1">
      <alignment horizontal="left" vertical="center"/>
    </xf>
    <xf numFmtId="14" fontId="39" fillId="0" borderId="10" xfId="0" applyNumberFormat="1" applyFont="1" applyBorder="1" applyAlignment="1">
      <alignment horizontal="left"/>
    </xf>
    <xf numFmtId="14" fontId="0" fillId="0" borderId="26" xfId="0" applyNumberFormat="1" applyBorder="1" applyAlignment="1">
      <alignment horizontal="left"/>
    </xf>
    <xf numFmtId="0" fontId="23" fillId="0" borderId="20" xfId="3" applyFont="1" applyBorder="1"/>
    <xf numFmtId="44" fontId="33" fillId="0" borderId="20" xfId="3" applyNumberFormat="1" applyFont="1" applyBorder="1" applyAlignment="1">
      <alignment horizontal="right" vertical="top"/>
    </xf>
    <xf numFmtId="0" fontId="1" fillId="0" borderId="0" xfId="3" applyFont="1" applyAlignment="1">
      <alignment wrapText="1"/>
    </xf>
    <xf numFmtId="0" fontId="24" fillId="0" borderId="4" xfId="3" applyFont="1" applyBorder="1" applyAlignment="1">
      <alignment horizontal="center" vertical="center" wrapText="1"/>
    </xf>
    <xf numFmtId="0" fontId="23" fillId="4" borderId="4" xfId="3" applyFont="1" applyFill="1" applyBorder="1" applyAlignment="1">
      <alignment horizontal="left" vertical="center"/>
    </xf>
    <xf numFmtId="14" fontId="33" fillId="9" borderId="6" xfId="3" applyNumberFormat="1" applyFont="1" applyFill="1" applyBorder="1" applyAlignment="1">
      <alignment vertical="center" wrapText="1"/>
    </xf>
    <xf numFmtId="14" fontId="34" fillId="0" borderId="14" xfId="3" applyNumberFormat="1" applyFont="1" applyBorder="1" applyAlignment="1">
      <alignment horizontal="right" vertical="top" wrapText="1" shrinkToFit="1"/>
    </xf>
    <xf numFmtId="169" fontId="5" fillId="0" borderId="0" xfId="2" applyNumberFormat="1" applyFont="1" applyAlignment="1">
      <alignment vertical="top"/>
    </xf>
    <xf numFmtId="169" fontId="16" fillId="0" borderId="6" xfId="2" applyNumberFormat="1" applyFont="1" applyBorder="1" applyAlignment="1">
      <alignment vertical="top" wrapText="1"/>
    </xf>
    <xf numFmtId="169" fontId="16" fillId="3" borderId="7" xfId="2" applyNumberFormat="1" applyFont="1" applyFill="1" applyBorder="1" applyAlignment="1">
      <alignment vertical="top" wrapText="1"/>
    </xf>
    <xf numFmtId="169" fontId="16" fillId="0" borderId="10" xfId="2" applyNumberFormat="1" applyFont="1" applyFill="1" applyBorder="1" applyAlignment="1">
      <alignment vertical="top" wrapText="1"/>
    </xf>
    <xf numFmtId="169" fontId="16" fillId="4" borderId="10" xfId="2" applyNumberFormat="1" applyFont="1" applyFill="1" applyBorder="1" applyAlignment="1">
      <alignment vertical="top"/>
    </xf>
    <xf numFmtId="44" fontId="33" fillId="9" borderId="19" xfId="3" applyNumberFormat="1" applyFont="1" applyFill="1" applyBorder="1" applyAlignment="1">
      <alignment horizontal="right" vertical="top"/>
    </xf>
    <xf numFmtId="0" fontId="16" fillId="2" borderId="14" xfId="3" applyFont="1" applyFill="1" applyBorder="1" applyAlignment="1">
      <alignment horizontal="right" vertical="top" wrapText="1"/>
    </xf>
    <xf numFmtId="0" fontId="10" fillId="0" borderId="0" xfId="7" applyFont="1" applyAlignment="1">
      <alignment horizontal="left" vertical="top"/>
    </xf>
    <xf numFmtId="0" fontId="10" fillId="0" borderId="0" xfId="7" quotePrefix="1" applyFont="1" applyAlignment="1">
      <alignment horizontal="left" vertical="top"/>
    </xf>
    <xf numFmtId="0" fontId="10" fillId="0" borderId="0" xfId="7" applyFont="1" applyAlignment="1">
      <alignment horizontal="center" vertical="top"/>
    </xf>
    <xf numFmtId="164" fontId="10" fillId="0" borderId="0" xfId="8" quotePrefix="1" applyFont="1" applyFill="1" applyBorder="1" applyAlignment="1">
      <alignment horizontal="center" vertical="top" wrapText="1"/>
    </xf>
    <xf numFmtId="0" fontId="29" fillId="0" borderId="0" xfId="0" applyFont="1" applyAlignment="1">
      <alignment horizontal="left" vertical="top" wrapText="1"/>
    </xf>
    <xf numFmtId="0" fontId="34" fillId="9" borderId="21" xfId="3" applyFont="1" applyFill="1" applyBorder="1" applyAlignment="1">
      <alignment horizontal="right" vertical="top"/>
    </xf>
    <xf numFmtId="0" fontId="16" fillId="9" borderId="14" xfId="3" applyFont="1" applyFill="1" applyBorder="1" applyAlignment="1">
      <alignment horizontal="right" vertical="top" wrapText="1"/>
    </xf>
    <xf numFmtId="10" fontId="33" fillId="8" borderId="23" xfId="3" applyNumberFormat="1" applyFont="1" applyFill="1" applyBorder="1" applyAlignment="1">
      <alignment horizontal="right" vertical="top"/>
    </xf>
    <xf numFmtId="10" fontId="23" fillId="8" borderId="18" xfId="3" applyNumberFormat="1" applyFont="1" applyFill="1" applyBorder="1" applyAlignment="1">
      <alignment horizontal="right" vertical="top"/>
    </xf>
    <xf numFmtId="44" fontId="33" fillId="8" borderId="23" xfId="3" applyNumberFormat="1" applyFont="1" applyFill="1" applyBorder="1" applyAlignment="1">
      <alignment horizontal="right" vertical="top"/>
    </xf>
    <xf numFmtId="0" fontId="23" fillId="8" borderId="18" xfId="3" applyFont="1" applyFill="1" applyBorder="1" applyAlignment="1">
      <alignment horizontal="right" vertical="top"/>
    </xf>
    <xf numFmtId="10" fontId="33" fillId="8" borderId="24" xfId="3" applyNumberFormat="1" applyFont="1" applyFill="1" applyBorder="1" applyAlignment="1">
      <alignment horizontal="right" vertical="top"/>
    </xf>
    <xf numFmtId="0" fontId="23" fillId="8" borderId="20" xfId="3" applyFont="1" applyFill="1" applyBorder="1" applyAlignment="1">
      <alignment horizontal="right" vertical="top"/>
    </xf>
    <xf numFmtId="44" fontId="33" fillId="9" borderId="22" xfId="3" applyNumberFormat="1" applyFont="1" applyFill="1" applyBorder="1" applyAlignment="1">
      <alignment horizontal="right" vertical="top"/>
    </xf>
    <xf numFmtId="10" fontId="23" fillId="9" borderId="17" xfId="3" applyNumberFormat="1" applyFont="1" applyFill="1" applyBorder="1" applyAlignment="1">
      <alignment horizontal="right" vertical="top"/>
    </xf>
    <xf numFmtId="0" fontId="46" fillId="0" borderId="2" xfId="3" applyFont="1" applyBorder="1" applyAlignment="1">
      <alignment vertical="center" wrapText="1"/>
    </xf>
    <xf numFmtId="0" fontId="33" fillId="5" borderId="6" xfId="3" applyFont="1" applyFill="1" applyBorder="1" applyAlignment="1">
      <alignment horizontal="left" vertical="center"/>
    </xf>
    <xf numFmtId="4" fontId="33" fillId="0" borderId="0" xfId="8" applyNumberFormat="1" applyFont="1" applyFill="1" applyBorder="1" applyAlignment="1">
      <alignment horizontal="right" vertical="center"/>
    </xf>
    <xf numFmtId="4" fontId="33" fillId="0" borderId="0" xfId="8" applyNumberFormat="1" applyFont="1" applyFill="1" applyBorder="1" applyAlignment="1">
      <alignment horizontal="right" vertical="center" wrapText="1"/>
    </xf>
    <xf numFmtId="4" fontId="33" fillId="0" borderId="28" xfId="8" applyNumberFormat="1" applyFont="1" applyFill="1" applyBorder="1" applyAlignment="1">
      <alignment horizontal="right" vertical="center"/>
    </xf>
    <xf numFmtId="4" fontId="33" fillId="0" borderId="28" xfId="8" applyNumberFormat="1" applyFont="1" applyFill="1" applyBorder="1" applyAlignment="1">
      <alignment horizontal="right" vertical="center" wrapText="1"/>
    </xf>
    <xf numFmtId="4" fontId="10" fillId="0" borderId="0" xfId="8" applyNumberFormat="1" applyFont="1" applyBorder="1" applyAlignment="1">
      <alignment horizontal="right" vertical="center"/>
    </xf>
    <xf numFmtId="4" fontId="10" fillId="0" borderId="29" xfId="8" applyNumberFormat="1" applyFont="1" applyBorder="1" applyAlignment="1">
      <alignment horizontal="right" vertical="center"/>
    </xf>
    <xf numFmtId="4" fontId="10" fillId="0" borderId="1" xfId="7" applyNumberFormat="1" applyFont="1" applyBorder="1" applyAlignment="1">
      <alignment horizontal="right" vertical="center"/>
    </xf>
    <xf numFmtId="0" fontId="25" fillId="0" borderId="10" xfId="3" applyFont="1" applyBorder="1" applyAlignment="1">
      <alignment horizontal="center" vertical="center" wrapText="1"/>
    </xf>
    <xf numFmtId="0" fontId="18" fillId="4" borderId="10" xfId="3" applyFont="1" applyFill="1" applyBorder="1" applyAlignment="1">
      <alignment horizontal="center" vertical="center" wrapText="1"/>
    </xf>
    <xf numFmtId="0" fontId="42" fillId="0" borderId="10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42" fillId="9" borderId="10" xfId="3" applyFont="1" applyFill="1" applyBorder="1" applyAlignment="1">
      <alignment horizontal="center" vertical="center" wrapText="1"/>
    </xf>
    <xf numFmtId="0" fontId="18" fillId="9" borderId="10" xfId="3" applyFont="1" applyFill="1" applyBorder="1" applyAlignment="1">
      <alignment horizontal="center" vertical="center" wrapText="1"/>
    </xf>
    <xf numFmtId="0" fontId="11" fillId="5" borderId="10" xfId="3" applyFont="1" applyFill="1" applyBorder="1" applyAlignment="1">
      <alignment horizontal="center" vertical="center" wrapText="1"/>
    </xf>
    <xf numFmtId="0" fontId="11" fillId="0" borderId="26" xfId="3" applyFont="1" applyBorder="1" applyAlignment="1">
      <alignment horizontal="center" vertical="center" wrapText="1"/>
    </xf>
    <xf numFmtId="0" fontId="27" fillId="7" borderId="10" xfId="3" applyFont="1" applyFill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27" fillId="0" borderId="10" xfId="3" applyFont="1" applyBorder="1" applyAlignment="1">
      <alignment horizontal="center" vertical="center" wrapText="1"/>
    </xf>
    <xf numFmtId="15" fontId="38" fillId="5" borderId="6" xfId="3" applyNumberFormat="1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left" vertical="center"/>
    </xf>
    <xf numFmtId="14" fontId="33" fillId="9" borderId="6" xfId="3" applyNumberFormat="1" applyFont="1" applyFill="1" applyBorder="1" applyAlignment="1">
      <alignment horizontal="left" vertical="center"/>
    </xf>
    <xf numFmtId="44" fontId="33" fillId="0" borderId="7" xfId="4" applyFont="1" applyFill="1" applyBorder="1" applyAlignment="1">
      <alignment horizontal="left" vertical="center" wrapText="1"/>
    </xf>
    <xf numFmtId="169" fontId="39" fillId="0" borderId="10" xfId="2" applyNumberFormat="1" applyFont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14" fontId="33" fillId="0" borderId="10" xfId="3" applyNumberFormat="1" applyFont="1" applyBorder="1" applyAlignment="1">
      <alignment horizontal="left" vertical="center" wrapText="1"/>
    </xf>
    <xf numFmtId="0" fontId="33" fillId="0" borderId="10" xfId="3" applyFont="1" applyBorder="1" applyAlignment="1">
      <alignment horizontal="left" vertical="center" wrapText="1"/>
    </xf>
    <xf numFmtId="14" fontId="33" fillId="9" borderId="6" xfId="3" applyNumberFormat="1" applyFont="1" applyFill="1" applyBorder="1" applyAlignment="1">
      <alignment horizontal="left" vertical="center" wrapText="1"/>
    </xf>
    <xf numFmtId="14" fontId="38" fillId="0" borderId="6" xfId="4" applyNumberFormat="1" applyFont="1" applyFill="1" applyBorder="1" applyAlignment="1">
      <alignment horizontal="left" vertical="center" wrapText="1"/>
    </xf>
    <xf numFmtId="44" fontId="33" fillId="0" borderId="4" xfId="4" applyFont="1" applyFill="1" applyBorder="1" applyAlignment="1">
      <alignment horizontal="left" vertical="center" wrapText="1"/>
    </xf>
    <xf numFmtId="169" fontId="33" fillId="5" borderId="10" xfId="2" applyNumberFormat="1" applyFont="1" applyFill="1" applyBorder="1" applyAlignment="1">
      <alignment horizontal="right" vertical="center" wrapText="1"/>
    </xf>
    <xf numFmtId="169" fontId="0" fillId="0" borderId="10" xfId="2" applyNumberFormat="1" applyFont="1" applyBorder="1" applyAlignment="1">
      <alignment horizontal="right" vertical="center"/>
    </xf>
    <xf numFmtId="169" fontId="45" fillId="7" borderId="10" xfId="2" applyNumberFormat="1" applyFont="1" applyFill="1" applyBorder="1" applyAlignment="1">
      <alignment horizontal="right" vertical="center" wrapText="1"/>
    </xf>
    <xf numFmtId="169" fontId="23" fillId="0" borderId="10" xfId="2" applyNumberFormat="1" applyFont="1" applyBorder="1" applyAlignment="1">
      <alignment horizontal="right" vertical="center" wrapText="1"/>
    </xf>
    <xf numFmtId="169" fontId="16" fillId="4" borderId="10" xfId="2" applyNumberFormat="1" applyFont="1" applyFill="1" applyBorder="1" applyAlignment="1">
      <alignment horizontal="right" vertical="center" wrapText="1"/>
    </xf>
    <xf numFmtId="169" fontId="26" fillId="6" borderId="10" xfId="2" applyNumberFormat="1" applyFont="1" applyFill="1" applyBorder="1" applyAlignment="1">
      <alignment horizontal="right" vertical="center" wrapText="1"/>
    </xf>
    <xf numFmtId="169" fontId="39" fillId="0" borderId="26" xfId="2" applyNumberFormat="1" applyFont="1" applyBorder="1" applyAlignment="1">
      <alignment horizontal="right" vertical="center"/>
    </xf>
    <xf numFmtId="169" fontId="0" fillId="0" borderId="26" xfId="2" applyNumberFormat="1" applyFont="1" applyBorder="1" applyAlignment="1">
      <alignment horizontal="right" vertical="center"/>
    </xf>
    <xf numFmtId="169" fontId="16" fillId="4" borderId="10" xfId="2" applyNumberFormat="1" applyFont="1" applyFill="1" applyBorder="1" applyAlignment="1">
      <alignment horizontal="right" vertical="center"/>
    </xf>
    <xf numFmtId="169" fontId="21" fillId="5" borderId="10" xfId="2" applyNumberFormat="1" applyFont="1" applyFill="1" applyBorder="1" applyAlignment="1">
      <alignment horizontal="right" vertical="center" wrapText="1"/>
    </xf>
    <xf numFmtId="169" fontId="33" fillId="0" borderId="10" xfId="2" applyNumberFormat="1" applyFont="1" applyFill="1" applyBorder="1" applyAlignment="1">
      <alignment horizontal="right" vertical="center" wrapText="1"/>
    </xf>
    <xf numFmtId="169" fontId="26" fillId="6" borderId="11" xfId="2" applyNumberFormat="1" applyFont="1" applyFill="1" applyBorder="1" applyAlignment="1">
      <alignment horizontal="right" vertical="center" wrapText="1"/>
    </xf>
    <xf numFmtId="169" fontId="10" fillId="0" borderId="10" xfId="2" applyNumberFormat="1" applyFont="1" applyFill="1" applyBorder="1" applyAlignment="1">
      <alignment horizontal="right" vertical="center" wrapText="1"/>
    </xf>
    <xf numFmtId="169" fontId="16" fillId="0" borderId="10" xfId="2" applyNumberFormat="1" applyFont="1" applyBorder="1" applyAlignment="1">
      <alignment horizontal="right" vertical="center" wrapText="1"/>
    </xf>
    <xf numFmtId="169" fontId="33" fillId="0" borderId="10" xfId="2" applyNumberFormat="1" applyFont="1" applyBorder="1" applyAlignment="1">
      <alignment horizontal="right" vertical="center" wrapText="1"/>
    </xf>
    <xf numFmtId="170" fontId="39" fillId="0" borderId="10" xfId="0" applyNumberFormat="1" applyFont="1" applyBorder="1" applyAlignment="1">
      <alignment horizontal="left" vertical="center"/>
    </xf>
    <xf numFmtId="170" fontId="39" fillId="0" borderId="26" xfId="0" applyNumberFormat="1" applyFont="1" applyBorder="1" applyAlignment="1">
      <alignment horizontal="left" vertical="center"/>
    </xf>
    <xf numFmtId="170" fontId="33" fillId="0" borderId="10" xfId="3" applyNumberFormat="1" applyFont="1" applyBorder="1" applyAlignment="1">
      <alignment horizontal="left" vertical="center" wrapText="1"/>
    </xf>
    <xf numFmtId="44" fontId="33" fillId="0" borderId="6" xfId="4" applyFont="1" applyFill="1" applyBorder="1" applyAlignment="1">
      <alignment horizontal="left" vertical="center" wrapText="1"/>
    </xf>
    <xf numFmtId="0" fontId="11" fillId="0" borderId="0" xfId="7" applyFont="1" applyAlignment="1">
      <alignment horizontal="right" vertical="center"/>
    </xf>
    <xf numFmtId="0" fontId="16" fillId="0" borderId="5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11" fillId="0" borderId="5" xfId="3" applyFont="1" applyBorder="1" applyAlignment="1">
      <alignment horizontal="right" vertical="top" wrapText="1"/>
    </xf>
    <xf numFmtId="0" fontId="11" fillId="0" borderId="4" xfId="3" applyFont="1" applyBorder="1" applyAlignment="1">
      <alignment horizontal="right" vertical="top" wrapText="1"/>
    </xf>
    <xf numFmtId="0" fontId="11" fillId="0" borderId="6" xfId="3" applyFont="1" applyBorder="1" applyAlignment="1">
      <alignment horizontal="right" vertical="top" wrapText="1"/>
    </xf>
    <xf numFmtId="0" fontId="16" fillId="4" borderId="5" xfId="3" applyFont="1" applyFill="1" applyBorder="1" applyAlignment="1">
      <alignment vertical="center"/>
    </xf>
    <xf numFmtId="0" fontId="16" fillId="4" borderId="4" xfId="3" applyFont="1" applyFill="1" applyBorder="1" applyAlignment="1">
      <alignment vertical="center"/>
    </xf>
    <xf numFmtId="0" fontId="16" fillId="4" borderId="6" xfId="3" applyFont="1" applyFill="1" applyBorder="1" applyAlignment="1">
      <alignment vertical="center"/>
    </xf>
    <xf numFmtId="0" fontId="16" fillId="0" borderId="5" xfId="3" applyFont="1" applyBorder="1" applyAlignment="1">
      <alignment vertical="center" wrapText="1"/>
    </xf>
    <xf numFmtId="0" fontId="16" fillId="0" borderId="4" xfId="3" applyFont="1" applyBorder="1" applyAlignment="1">
      <alignment vertical="center" wrapText="1"/>
    </xf>
    <xf numFmtId="0" fontId="16" fillId="0" borderId="6" xfId="3" applyFont="1" applyBorder="1" applyAlignment="1">
      <alignment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left" vertical="center" wrapText="1"/>
    </xf>
    <xf numFmtId="0" fontId="23" fillId="0" borderId="6" xfId="3" applyFont="1" applyBorder="1" applyAlignment="1">
      <alignment horizontal="left" vertical="center" wrapText="1"/>
    </xf>
    <xf numFmtId="0" fontId="11" fillId="7" borderId="5" xfId="3" applyFont="1" applyFill="1" applyBorder="1" applyAlignment="1">
      <alignment horizontal="right" vertical="top" wrapText="1"/>
    </xf>
    <xf numFmtId="0" fontId="11" fillId="7" borderId="2" xfId="3" applyFont="1" applyFill="1" applyBorder="1" applyAlignment="1">
      <alignment horizontal="right" vertical="top" wrapText="1"/>
    </xf>
    <xf numFmtId="0" fontId="11" fillId="7" borderId="4" xfId="3" applyFont="1" applyFill="1" applyBorder="1" applyAlignment="1">
      <alignment horizontal="right" vertical="top" wrapText="1"/>
    </xf>
    <xf numFmtId="0" fontId="11" fillId="7" borderId="6" xfId="3" applyFont="1" applyFill="1" applyBorder="1" applyAlignment="1">
      <alignment horizontal="right" vertical="top" wrapText="1"/>
    </xf>
    <xf numFmtId="0" fontId="20" fillId="5" borderId="5" xfId="3" applyFont="1" applyFill="1" applyBorder="1" applyAlignment="1">
      <alignment horizontal="left" vertical="top" wrapText="1"/>
    </xf>
    <xf numFmtId="0" fontId="20" fillId="5" borderId="6" xfId="3" applyFont="1" applyFill="1" applyBorder="1" applyAlignment="1">
      <alignment horizontal="left" vertical="top" wrapText="1"/>
    </xf>
    <xf numFmtId="0" fontId="23" fillId="0" borderId="5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center" vertical="center" wrapText="1"/>
    </xf>
    <xf numFmtId="0" fontId="16" fillId="4" borderId="5" xfId="3" applyFont="1" applyFill="1" applyBorder="1" applyAlignment="1">
      <alignment vertical="center" wrapText="1"/>
    </xf>
    <xf numFmtId="0" fontId="16" fillId="4" borderId="4" xfId="3" applyFont="1" applyFill="1" applyBorder="1" applyAlignment="1">
      <alignment vertical="center" wrapText="1"/>
    </xf>
    <xf numFmtId="0" fontId="16" fillId="4" borderId="6" xfId="3" applyFont="1" applyFill="1" applyBorder="1" applyAlignment="1">
      <alignment vertical="center" wrapText="1"/>
    </xf>
    <xf numFmtId="0" fontId="23" fillId="0" borderId="5" xfId="3" applyFont="1" applyBorder="1" applyAlignment="1">
      <alignment vertical="center" wrapText="1"/>
    </xf>
    <xf numFmtId="0" fontId="23" fillId="0" borderId="4" xfId="3" applyFont="1" applyBorder="1" applyAlignment="1">
      <alignment vertical="center" wrapText="1"/>
    </xf>
    <xf numFmtId="0" fontId="23" fillId="0" borderId="6" xfId="3" applyFont="1" applyBorder="1" applyAlignment="1">
      <alignment vertical="center" wrapText="1"/>
    </xf>
    <xf numFmtId="0" fontId="28" fillId="0" borderId="0" xfId="3" applyFont="1" applyAlignment="1">
      <alignment horizontal="left" vertical="center" wrapText="1"/>
    </xf>
    <xf numFmtId="0" fontId="16" fillId="0" borderId="0" xfId="3" applyFont="1" applyAlignment="1">
      <alignment horizontal="left" vertical="center" wrapText="1"/>
    </xf>
    <xf numFmtId="0" fontId="16" fillId="0" borderId="5" xfId="3" applyFont="1" applyBorder="1" applyAlignment="1">
      <alignment vertical="center"/>
    </xf>
    <xf numFmtId="0" fontId="16" fillId="0" borderId="4" xfId="3" applyFont="1" applyBorder="1" applyAlignment="1">
      <alignment vertical="center"/>
    </xf>
    <xf numFmtId="0" fontId="33" fillId="5" borderId="5" xfId="3" applyFont="1" applyFill="1" applyBorder="1" applyAlignment="1">
      <alignment horizontal="left" vertical="center" wrapText="1"/>
    </xf>
    <xf numFmtId="0" fontId="33" fillId="5" borderId="6" xfId="3" applyFont="1" applyFill="1" applyBorder="1" applyAlignment="1">
      <alignment horizontal="left" vertical="center" wrapText="1"/>
    </xf>
    <xf numFmtId="0" fontId="33" fillId="5" borderId="5" xfId="3" applyFont="1" applyFill="1" applyBorder="1" applyAlignment="1">
      <alignment horizontal="left" vertical="center"/>
    </xf>
    <xf numFmtId="0" fontId="33" fillId="5" borderId="6" xfId="3" applyFont="1" applyFill="1" applyBorder="1" applyAlignment="1">
      <alignment horizontal="left" vertical="center"/>
    </xf>
    <xf numFmtId="0" fontId="16" fillId="9" borderId="5" xfId="3" applyFont="1" applyFill="1" applyBorder="1" applyAlignment="1">
      <alignment vertical="center"/>
    </xf>
    <xf numFmtId="0" fontId="16" fillId="9" borderId="4" xfId="3" applyFont="1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48" fillId="9" borderId="10" xfId="3" applyFont="1" applyFill="1" applyBorder="1" applyAlignment="1">
      <alignment horizontal="center" vertical="center" wrapText="1"/>
    </xf>
  </cellXfs>
  <cellStyles count="11">
    <cellStyle name="Comma" xfId="10" builtinId="3"/>
    <cellStyle name="Comma 2" xfId="1" xr:uid="{00000000-0005-0000-0000-000001000000}"/>
    <cellStyle name="Comma 3" xfId="5" xr:uid="{00000000-0005-0000-0000-000002000000}"/>
    <cellStyle name="Comma 4" xfId="8" xr:uid="{00000000-0005-0000-0000-000003000000}"/>
    <cellStyle name="Currency" xfId="2" builtinId="4"/>
    <cellStyle name="Currency 2" xfId="4" xr:uid="{00000000-0005-0000-0000-000005000000}"/>
    <cellStyle name="Normal" xfId="0" builtinId="0"/>
    <cellStyle name="Normal 2" xfId="3" xr:uid="{00000000-0005-0000-0000-000007000000}"/>
    <cellStyle name="Normal 3" xfId="6" xr:uid="{00000000-0005-0000-0000-000008000000}"/>
    <cellStyle name="Normal 3 2" xfId="9" xr:uid="{00000000-0005-0000-0000-000009000000}"/>
    <cellStyle name="Normal 4" xfId="7" xr:uid="{00000000-0005-0000-0000-00000A00000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00FF"/>
      <color rgb="FFEAEAEA"/>
      <color rgb="FFC0C0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opLeftCell="A8" zoomScale="85" zoomScaleNormal="85" workbookViewId="0">
      <selection activeCell="C24" sqref="C24"/>
    </sheetView>
  </sheetViews>
  <sheetFormatPr defaultColWidth="9.140625" defaultRowHeight="13.9" customHeight="1" x14ac:dyDescent="0.25"/>
  <cols>
    <col min="1" max="1" width="17.140625" style="67" customWidth="1"/>
    <col min="2" max="2" width="45.5703125" style="67" customWidth="1"/>
    <col min="3" max="4" width="21.5703125" style="67" customWidth="1"/>
    <col min="5" max="5" width="23" style="67" customWidth="1"/>
    <col min="6" max="6" width="24.28515625" style="67" customWidth="1"/>
    <col min="7" max="7" width="25.28515625" style="67" customWidth="1"/>
    <col min="8" max="8" width="18.7109375" style="67" customWidth="1"/>
    <col min="9" max="9" width="19.42578125" style="67" customWidth="1"/>
    <col min="10" max="10" width="21.7109375" style="67" customWidth="1"/>
    <col min="11" max="12" width="12.28515625" style="67" customWidth="1"/>
    <col min="13" max="16384" width="9.140625" style="67"/>
  </cols>
  <sheetData>
    <row r="1" spans="1:10" ht="13.9" customHeight="1" x14ac:dyDescent="0.25">
      <c r="A1" s="66" t="s">
        <v>74</v>
      </c>
    </row>
    <row r="3" spans="1:10" ht="13.9" customHeight="1" x14ac:dyDescent="0.25">
      <c r="A3" s="68" t="s">
        <v>53</v>
      </c>
      <c r="B3" s="68"/>
    </row>
    <row r="4" spans="1:10" ht="13.9" customHeight="1" x14ac:dyDescent="0.25">
      <c r="A4" s="68" t="s">
        <v>76</v>
      </c>
      <c r="B4" s="68"/>
    </row>
    <row r="5" spans="1:10" ht="13.9" customHeight="1" x14ac:dyDescent="0.25">
      <c r="A5" s="69"/>
      <c r="B5" s="69"/>
    </row>
    <row r="6" spans="1:10" ht="13.9" customHeight="1" x14ac:dyDescent="0.25">
      <c r="A6" s="68" t="s">
        <v>0</v>
      </c>
      <c r="B6" s="68"/>
    </row>
    <row r="7" spans="1:10" ht="13.9" customHeight="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</row>
    <row r="8" spans="1:10" s="81" customFormat="1" ht="51" customHeight="1" x14ac:dyDescent="0.25">
      <c r="A8" s="79" t="s">
        <v>1</v>
      </c>
      <c r="B8" s="79" t="s">
        <v>2</v>
      </c>
      <c r="C8" s="80" t="s">
        <v>54</v>
      </c>
      <c r="D8" s="80" t="s">
        <v>55</v>
      </c>
      <c r="E8" s="80" t="s">
        <v>112</v>
      </c>
      <c r="F8" s="80" t="s">
        <v>111</v>
      </c>
      <c r="G8" s="80" t="s">
        <v>115</v>
      </c>
      <c r="H8" s="80" t="s">
        <v>117</v>
      </c>
      <c r="I8" s="80" t="s">
        <v>118</v>
      </c>
      <c r="J8" s="80" t="s">
        <v>119</v>
      </c>
    </row>
    <row r="9" spans="1:10" s="81" customFormat="1" ht="13.9" customHeight="1" x14ac:dyDescent="0.25">
      <c r="A9" s="82"/>
      <c r="B9" s="82"/>
      <c r="C9" s="82"/>
      <c r="D9" s="83"/>
      <c r="E9" s="112" t="s">
        <v>99</v>
      </c>
      <c r="F9" s="112" t="s">
        <v>99</v>
      </c>
      <c r="G9" s="113" t="s">
        <v>116</v>
      </c>
      <c r="H9" s="113" t="s">
        <v>116</v>
      </c>
      <c r="I9" s="114" t="s">
        <v>110</v>
      </c>
      <c r="J9" s="114" t="s">
        <v>110</v>
      </c>
    </row>
    <row r="10" spans="1:10" s="81" customFormat="1" ht="13.9" customHeight="1" thickBot="1" x14ac:dyDescent="0.3">
      <c r="A10" s="84"/>
      <c r="B10" s="84"/>
      <c r="C10" s="85" t="s">
        <v>56</v>
      </c>
      <c r="D10" s="85" t="s">
        <v>57</v>
      </c>
      <c r="E10" s="86" t="s">
        <v>58</v>
      </c>
      <c r="F10" s="86" t="s">
        <v>59</v>
      </c>
      <c r="G10" s="86" t="s">
        <v>60</v>
      </c>
      <c r="H10" s="86" t="s">
        <v>61</v>
      </c>
      <c r="I10" s="87" t="s">
        <v>62</v>
      </c>
      <c r="J10" s="87" t="s">
        <v>63</v>
      </c>
    </row>
    <row r="11" spans="1:10" s="81" customFormat="1" ht="13.9" customHeight="1" thickTop="1" x14ac:dyDescent="0.25">
      <c r="A11" s="88"/>
      <c r="B11" s="88"/>
      <c r="C11" s="89" t="s">
        <v>8</v>
      </c>
      <c r="D11" s="89" t="s">
        <v>8</v>
      </c>
      <c r="E11" s="89" t="s">
        <v>8</v>
      </c>
      <c r="F11" s="89" t="s">
        <v>8</v>
      </c>
      <c r="G11" s="89" t="s">
        <v>8</v>
      </c>
      <c r="H11" s="89" t="s">
        <v>8</v>
      </c>
      <c r="I11" s="89" t="s">
        <v>8</v>
      </c>
      <c r="J11" s="89" t="s">
        <v>8</v>
      </c>
    </row>
    <row r="12" spans="1:10" s="81" customFormat="1" ht="13.9" customHeight="1" x14ac:dyDescent="0.25">
      <c r="A12" s="72"/>
      <c r="B12" s="72"/>
      <c r="C12" s="147"/>
      <c r="D12" s="147"/>
      <c r="E12" s="111"/>
      <c r="F12" s="111"/>
      <c r="G12" s="111"/>
      <c r="H12" s="111"/>
      <c r="I12" s="148"/>
      <c r="J12" s="148"/>
    </row>
    <row r="13" spans="1:10" s="81" customFormat="1" ht="70.150000000000006" customHeight="1" x14ac:dyDescent="0.25">
      <c r="A13" s="72"/>
      <c r="B13" s="149" t="s">
        <v>77</v>
      </c>
      <c r="C13" s="147"/>
      <c r="D13" s="147"/>
      <c r="E13" s="111"/>
      <c r="F13" s="111"/>
      <c r="G13" s="111"/>
      <c r="H13" s="111"/>
      <c r="I13" s="111"/>
      <c r="J13" s="111"/>
    </row>
    <row r="14" spans="1:10" s="81" customFormat="1" ht="13.9" customHeight="1" x14ac:dyDescent="0.25">
      <c r="A14" s="72"/>
      <c r="B14" s="145" t="s">
        <v>9</v>
      </c>
      <c r="C14" s="162" t="s">
        <v>78</v>
      </c>
      <c r="D14" s="162" t="s">
        <v>79</v>
      </c>
      <c r="E14" s="163"/>
      <c r="F14" s="163"/>
      <c r="G14" s="163" t="s">
        <v>80</v>
      </c>
      <c r="H14" s="163" t="s">
        <v>80</v>
      </c>
      <c r="I14" s="163" t="s">
        <v>81</v>
      </c>
      <c r="J14" s="163" t="s">
        <v>81</v>
      </c>
    </row>
    <row r="15" spans="1:10" s="81" customFormat="1" ht="13.9" customHeight="1" x14ac:dyDescent="0.25">
      <c r="A15" s="72"/>
      <c r="B15" s="145" t="s">
        <v>11</v>
      </c>
      <c r="C15" s="162" t="s">
        <v>78</v>
      </c>
      <c r="D15" s="162" t="s">
        <v>79</v>
      </c>
      <c r="E15" s="163"/>
      <c r="F15" s="163"/>
      <c r="G15" s="163" t="s">
        <v>80</v>
      </c>
      <c r="H15" s="163" t="s">
        <v>80</v>
      </c>
      <c r="I15" s="163" t="s">
        <v>81</v>
      </c>
      <c r="J15" s="163" t="s">
        <v>81</v>
      </c>
    </row>
    <row r="16" spans="1:10" s="81" customFormat="1" ht="13.9" customHeight="1" x14ac:dyDescent="0.25">
      <c r="A16" s="72"/>
      <c r="B16" s="145" t="s">
        <v>10</v>
      </c>
      <c r="C16" s="162" t="s">
        <v>127</v>
      </c>
      <c r="D16" s="162" t="s">
        <v>128</v>
      </c>
      <c r="E16" s="163"/>
      <c r="F16" s="163"/>
      <c r="G16" s="163" t="s">
        <v>129</v>
      </c>
      <c r="H16" s="163" t="s">
        <v>129</v>
      </c>
      <c r="I16" s="163" t="s">
        <v>130</v>
      </c>
      <c r="J16" s="163" t="s">
        <v>130</v>
      </c>
    </row>
    <row r="17" spans="1:12" s="81" customFormat="1" ht="13.9" customHeight="1" x14ac:dyDescent="0.25">
      <c r="A17" s="72"/>
      <c r="B17" s="146" t="s">
        <v>12</v>
      </c>
      <c r="C17" s="162" t="s">
        <v>78</v>
      </c>
      <c r="D17" s="162" t="s">
        <v>79</v>
      </c>
      <c r="E17" s="163"/>
      <c r="F17" s="163"/>
      <c r="G17" s="163" t="s">
        <v>80</v>
      </c>
      <c r="H17" s="163" t="s">
        <v>80</v>
      </c>
      <c r="I17" s="163" t="s">
        <v>81</v>
      </c>
      <c r="J17" s="163" t="s">
        <v>81</v>
      </c>
    </row>
    <row r="18" spans="1:12" s="81" customFormat="1" ht="13.9" customHeight="1" x14ac:dyDescent="0.25">
      <c r="A18" s="72"/>
      <c r="B18" s="146" t="s">
        <v>13</v>
      </c>
      <c r="C18" s="162" t="s">
        <v>78</v>
      </c>
      <c r="D18" s="162" t="s">
        <v>79</v>
      </c>
      <c r="E18" s="163"/>
      <c r="F18" s="163"/>
      <c r="G18" s="163" t="s">
        <v>80</v>
      </c>
      <c r="H18" s="163" t="s">
        <v>80</v>
      </c>
      <c r="I18" s="163" t="s">
        <v>81</v>
      </c>
      <c r="J18" s="163" t="s">
        <v>81</v>
      </c>
    </row>
    <row r="19" spans="1:12" s="81" customFormat="1" ht="13.9" customHeight="1" thickBot="1" x14ac:dyDescent="0.3">
      <c r="A19" s="72"/>
      <c r="B19" s="71" t="s">
        <v>133</v>
      </c>
      <c r="C19" s="164" cm="1">
        <f t="array" aca="1" ref="C19" ca="1">SUMPRODUCT(MID(0&amp;B19, LARGE(INDEX(ISNUMBER(--MID(B19, ROW(INDIRECT("1:"&amp;LEN(B19))), 1)) * ROW(INDIRECT("1:"&amp;LEN(B19))), 0), ROW(INDIRECT("1:"&amp;LEN(B19))))+1, 1) * 10^ROW(INDIRECT("1:"&amp;LEN(B19)))/10)%*SUM(C14:C18)</f>
        <v>0</v>
      </c>
      <c r="D19" s="164" cm="1">
        <f t="array" aca="1" ref="D19" ca="1">SUMPRODUCT(MID(0&amp;B19, LARGE(INDEX(ISNUMBER(--MID(B19, ROW(INDIRECT("1:"&amp;LEN(B19))), 1)) * ROW(INDIRECT("1:"&amp;LEN(B19))), 0), ROW(INDIRECT("1:"&amp;LEN(B19))))+1, 1) * 10^ROW(INDIRECT("1:"&amp;LEN(B19)))/10)%*SUM(D14:D18)</f>
        <v>0</v>
      </c>
      <c r="E19" s="165"/>
      <c r="F19" s="165"/>
      <c r="G19" s="165" cm="1">
        <f t="array" aca="1" ref="G19" ca="1">SUMPRODUCT(MID(0&amp;B19, LARGE(INDEX(ISNUMBER(--MID(B19, ROW(INDIRECT("1:"&amp;LEN(B19))), 1)) * ROW(INDIRECT("1:"&amp;LEN(B19))), 0), ROW(INDIRECT("1:"&amp;LEN(B19))))+1, 1) * 10^ROW(INDIRECT("1:"&amp;LEN(B19)))/10)%*SUM(G14:G18)</f>
        <v>0</v>
      </c>
      <c r="H19" s="163" cm="1">
        <f t="array" aca="1" ref="H19" ca="1">SUMPRODUCT(MID(0&amp;B19, LARGE(INDEX(ISNUMBER(--MID(B19, ROW(INDIRECT("1:"&amp;LEN(B19))), 1)) * ROW(INDIRECT("1:"&amp;LEN(B19))), 0), ROW(INDIRECT("1:"&amp;LEN(B19))))+1, 1) * 10^ROW(INDIRECT("1:"&amp;LEN(B19)))/10)%*SUM(H14:H18)</f>
        <v>0</v>
      </c>
      <c r="I19" s="165" cm="1">
        <f t="array" aca="1" ref="I19" ca="1">SUMPRODUCT(MID(0&amp;B19, LARGE(INDEX(ISNUMBER(--MID(B19, ROW(INDIRECT("1:"&amp;LEN(B19))), 1)) * ROW(INDIRECT("1:"&amp;LEN(B19))), 0), ROW(INDIRECT("1:"&amp;LEN(B19))))+1, 1) * 10^ROW(INDIRECT("1:"&amp;LEN(B19)))/10)%*SUM(I14:I18)</f>
        <v>0</v>
      </c>
      <c r="J19" s="163" cm="1">
        <f t="array" aca="1" ref="J19" ca="1">SUMPRODUCT(MID(0&amp;B19, LARGE(INDEX(ISNUMBER(--MID(B19, ROW(INDIRECT("1:"&amp;LEN(B19))), 1)) * ROW(INDIRECT("1:"&amp;LEN(B19))), 0), ROW(INDIRECT("1:"&amp;LEN(B19))))+1, 1) * 10^ROW(INDIRECT("1:"&amp;LEN(B19)))/10)%*SUM(J14:J18)</f>
        <v>0</v>
      </c>
      <c r="K19" s="90"/>
      <c r="L19" s="91"/>
    </row>
    <row r="20" spans="1:12" s="81" customFormat="1" ht="13.9" customHeight="1" x14ac:dyDescent="0.25">
      <c r="A20" s="72"/>
      <c r="B20" s="77" t="s">
        <v>6</v>
      </c>
      <c r="C20" s="166">
        <f t="shared" ref="C20:J20" ca="1" si="0">SUM(C14:C19)</f>
        <v>0</v>
      </c>
      <c r="D20" s="166">
        <f t="shared" ca="1" si="0"/>
        <v>0</v>
      </c>
      <c r="E20" s="166">
        <f t="shared" si="0"/>
        <v>0</v>
      </c>
      <c r="F20" s="166">
        <f t="shared" si="0"/>
        <v>0</v>
      </c>
      <c r="G20" s="166">
        <f t="shared" ca="1" si="0"/>
        <v>0</v>
      </c>
      <c r="H20" s="167">
        <f t="shared" ca="1" si="0"/>
        <v>0</v>
      </c>
      <c r="I20" s="166">
        <f t="shared" ca="1" si="0"/>
        <v>0</v>
      </c>
      <c r="J20" s="167">
        <f t="shared" ca="1" si="0"/>
        <v>0</v>
      </c>
      <c r="K20" s="90"/>
      <c r="L20" s="91"/>
    </row>
    <row r="21" spans="1:12" s="81" customFormat="1" ht="13.9" customHeight="1" x14ac:dyDescent="0.25">
      <c r="A21" s="92"/>
      <c r="B21" s="92"/>
      <c r="C21" s="92"/>
      <c r="D21" s="92"/>
      <c r="E21" s="93"/>
      <c r="F21" s="93"/>
      <c r="G21" s="94"/>
      <c r="H21" s="94"/>
      <c r="I21" s="95"/>
      <c r="J21" s="95"/>
    </row>
    <row r="22" spans="1:12" s="81" customFormat="1" ht="13.9" customHeight="1" x14ac:dyDescent="0.25">
      <c r="A22" s="72"/>
      <c r="B22" s="72"/>
      <c r="C22" s="72"/>
      <c r="D22" s="72"/>
      <c r="E22" s="72"/>
      <c r="F22" s="72"/>
      <c r="G22" s="72"/>
      <c r="H22" s="72"/>
      <c r="I22" s="96" t="s">
        <v>64</v>
      </c>
      <c r="J22" s="168">
        <f ca="1">J20</f>
        <v>0</v>
      </c>
    </row>
    <row r="23" spans="1:12" s="81" customFormat="1" ht="13.9" customHeight="1" x14ac:dyDescent="0.25">
      <c r="A23" s="72"/>
      <c r="B23" s="72"/>
      <c r="C23" s="72"/>
      <c r="D23" s="72"/>
      <c r="E23" s="72"/>
      <c r="F23" s="72"/>
      <c r="G23" s="72"/>
      <c r="H23" s="72"/>
      <c r="I23" s="96"/>
      <c r="J23" s="97"/>
    </row>
    <row r="24" spans="1:12" ht="13.9" customHeight="1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</row>
    <row r="25" spans="1:12" ht="13.9" customHeight="1" x14ac:dyDescent="0.25">
      <c r="A25" s="73" t="s">
        <v>65</v>
      </c>
      <c r="B25" s="73"/>
      <c r="C25" s="73"/>
      <c r="D25" s="73"/>
      <c r="E25" s="72"/>
      <c r="F25" s="72"/>
      <c r="G25" s="72"/>
      <c r="H25" s="72"/>
      <c r="I25" s="72"/>
      <c r="J25" s="72"/>
    </row>
    <row r="26" spans="1:12" ht="13.9" customHeight="1" x14ac:dyDescent="0.25">
      <c r="A26" s="72" t="s">
        <v>66</v>
      </c>
      <c r="B26" s="72"/>
      <c r="C26" s="72"/>
      <c r="D26" s="72"/>
      <c r="E26" s="72"/>
      <c r="F26" s="72"/>
      <c r="G26" s="72"/>
      <c r="H26" s="72"/>
      <c r="I26" s="72"/>
      <c r="J26" s="72"/>
    </row>
    <row r="27" spans="1:12" ht="13.9" customHeight="1" x14ac:dyDescent="0.25">
      <c r="A27" s="72" t="s">
        <v>67</v>
      </c>
      <c r="B27" s="72"/>
      <c r="C27" s="72"/>
      <c r="D27" s="72"/>
      <c r="E27" s="72"/>
      <c r="F27" s="72"/>
      <c r="G27" s="72"/>
      <c r="H27" s="72"/>
      <c r="I27" s="72"/>
      <c r="J27" s="72"/>
    </row>
    <row r="28" spans="1:12" ht="13.9" customHeight="1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</row>
    <row r="29" spans="1:12" ht="13.9" customHeight="1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</row>
    <row r="30" spans="1:12" ht="13.9" customHeight="1" x14ac:dyDescent="0.25">
      <c r="A30" s="74"/>
      <c r="B30" s="74"/>
      <c r="C30" s="74"/>
      <c r="D30" s="72"/>
      <c r="E30" s="72"/>
      <c r="F30" s="72"/>
      <c r="G30" s="72"/>
      <c r="H30" s="72"/>
      <c r="I30" s="72"/>
      <c r="J30" s="72"/>
    </row>
    <row r="31" spans="1:12" ht="13.9" customHeight="1" x14ac:dyDescent="0.25">
      <c r="A31" s="72" t="s">
        <v>68</v>
      </c>
      <c r="B31" s="72"/>
      <c r="C31" s="72"/>
      <c r="D31" s="72"/>
      <c r="E31" s="72"/>
      <c r="F31" s="72"/>
      <c r="G31" s="72"/>
      <c r="H31" s="72"/>
      <c r="I31" s="72"/>
      <c r="J31" s="72"/>
    </row>
    <row r="32" spans="1:12" ht="13.9" customHeight="1" x14ac:dyDescent="0.25">
      <c r="A32" s="72" t="s">
        <v>126</v>
      </c>
      <c r="B32" s="72"/>
      <c r="C32" s="72"/>
      <c r="D32" s="72"/>
      <c r="E32" s="72"/>
      <c r="F32" s="72"/>
      <c r="G32" s="72"/>
      <c r="H32" s="72"/>
      <c r="I32" s="72"/>
      <c r="J32" s="72"/>
    </row>
    <row r="33" spans="1:10" ht="13.9" customHeight="1" x14ac:dyDescent="0.25">
      <c r="A33" s="99" t="s">
        <v>83</v>
      </c>
      <c r="B33" s="72"/>
      <c r="C33" s="72"/>
      <c r="D33" s="72"/>
      <c r="E33" s="72"/>
      <c r="F33" s="72"/>
      <c r="G33" s="72"/>
      <c r="H33" s="72"/>
      <c r="I33" s="72"/>
      <c r="J33" s="72"/>
    </row>
    <row r="34" spans="1:10" ht="13.9" customHeight="1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</row>
    <row r="35" spans="1:10" ht="13.9" customHeight="1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</row>
    <row r="36" spans="1:10" ht="13.9" customHeight="1" x14ac:dyDescent="0.25">
      <c r="A36" s="74"/>
      <c r="B36" s="74"/>
      <c r="C36" s="74"/>
      <c r="D36" s="72"/>
      <c r="E36" s="72"/>
      <c r="F36" s="72"/>
      <c r="G36" s="72"/>
      <c r="H36" s="72"/>
      <c r="I36" s="72"/>
      <c r="J36" s="72"/>
    </row>
    <row r="37" spans="1:10" ht="13.9" customHeight="1" x14ac:dyDescent="0.25">
      <c r="A37" s="72" t="s">
        <v>7</v>
      </c>
      <c r="B37" s="72"/>
      <c r="C37" s="72"/>
      <c r="D37" s="72"/>
      <c r="E37" s="72"/>
      <c r="F37" s="72"/>
      <c r="G37" s="72"/>
      <c r="H37" s="72"/>
      <c r="I37" s="72"/>
      <c r="J37" s="72"/>
    </row>
    <row r="38" spans="1:10" ht="13.9" customHeight="1" x14ac:dyDescent="0.25">
      <c r="A38" s="72" t="s">
        <v>113</v>
      </c>
      <c r="B38" s="72"/>
      <c r="C38" s="72"/>
      <c r="D38" s="72"/>
      <c r="E38" s="72"/>
      <c r="F38" s="72"/>
      <c r="G38" s="72"/>
      <c r="H38" s="72"/>
      <c r="I38" s="72"/>
      <c r="J38" s="72"/>
    </row>
    <row r="39" spans="1:10" ht="13.9" customHeight="1" x14ac:dyDescent="0.25">
      <c r="A39" s="99" t="s">
        <v>114</v>
      </c>
      <c r="B39" s="72"/>
      <c r="C39" s="72"/>
      <c r="D39" s="72"/>
      <c r="E39" s="72"/>
      <c r="F39" s="72"/>
      <c r="G39" s="72"/>
      <c r="H39" s="72"/>
      <c r="I39" s="72"/>
      <c r="J39" s="72"/>
    </row>
    <row r="40" spans="1:10" ht="13.9" customHeight="1" x14ac:dyDescent="0.25">
      <c r="A40" s="75" t="s">
        <v>84</v>
      </c>
      <c r="B40" s="75"/>
      <c r="C40" s="75"/>
      <c r="D40" s="75"/>
      <c r="E40" s="72"/>
      <c r="F40" s="72"/>
      <c r="G40" s="72"/>
      <c r="H40" s="72"/>
      <c r="I40" s="72"/>
      <c r="J40" s="72"/>
    </row>
    <row r="41" spans="1:10" ht="13.9" customHeight="1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</row>
    <row r="42" spans="1:10" ht="13.9" customHeight="1" x14ac:dyDescent="0.25">
      <c r="A42" s="72" t="s">
        <v>69</v>
      </c>
      <c r="B42" s="72"/>
      <c r="C42" s="72"/>
      <c r="D42" s="72"/>
      <c r="E42" s="72"/>
      <c r="F42" s="72"/>
      <c r="G42" s="72"/>
      <c r="H42" s="72"/>
      <c r="I42" s="72"/>
      <c r="J42" s="72"/>
    </row>
    <row r="43" spans="1:10" ht="13.9" customHeight="1" x14ac:dyDescent="0.25">
      <c r="A43" s="76"/>
      <c r="B43" s="76"/>
      <c r="C43" s="76"/>
      <c r="D43" s="76"/>
      <c r="E43" s="72"/>
      <c r="F43" s="72"/>
      <c r="G43" s="72"/>
      <c r="H43" s="72"/>
      <c r="I43" s="72"/>
      <c r="J43" s="72"/>
    </row>
    <row r="44" spans="1:10" ht="13.9" customHeight="1" x14ac:dyDescent="0.25">
      <c r="A44" s="77" t="s">
        <v>70</v>
      </c>
      <c r="B44" s="77"/>
      <c r="C44" s="77"/>
      <c r="D44" s="77"/>
      <c r="E44" s="72"/>
      <c r="F44" s="72"/>
      <c r="G44" s="72"/>
      <c r="H44" s="72"/>
      <c r="I44" s="72"/>
      <c r="J44" s="72"/>
    </row>
    <row r="45" spans="1:10" ht="13.9" customHeight="1" x14ac:dyDescent="0.25">
      <c r="A45" s="210" t="s">
        <v>3</v>
      </c>
      <c r="B45" s="210"/>
      <c r="C45" s="210"/>
      <c r="D45" s="100" t="s">
        <v>85</v>
      </c>
      <c r="E45" s="78"/>
      <c r="F45" s="78"/>
      <c r="G45" s="78"/>
      <c r="H45" s="78"/>
      <c r="I45" s="72"/>
      <c r="J45" s="72"/>
    </row>
    <row r="46" spans="1:10" ht="13.9" customHeight="1" x14ac:dyDescent="0.25">
      <c r="A46" s="210" t="s">
        <v>4</v>
      </c>
      <c r="B46" s="210"/>
      <c r="C46" s="210"/>
      <c r="D46" s="100" t="s">
        <v>86</v>
      </c>
      <c r="E46" s="78"/>
      <c r="F46" s="78"/>
      <c r="G46" s="78"/>
      <c r="H46" s="78"/>
      <c r="I46" s="72"/>
      <c r="J46" s="72"/>
    </row>
    <row r="47" spans="1:10" ht="13.9" customHeight="1" x14ac:dyDescent="0.25">
      <c r="A47" s="210" t="s">
        <v>5</v>
      </c>
      <c r="B47" s="210"/>
      <c r="C47" s="210"/>
      <c r="D47" s="100" t="s">
        <v>87</v>
      </c>
      <c r="E47" s="78"/>
      <c r="F47" s="78"/>
      <c r="G47" s="78"/>
      <c r="H47" s="78"/>
      <c r="I47" s="72"/>
      <c r="J47" s="72"/>
    </row>
  </sheetData>
  <mergeCells count="3">
    <mergeCell ref="A45:C45"/>
    <mergeCell ref="A46:C46"/>
    <mergeCell ref="A47:C47"/>
  </mergeCells>
  <pageMargins left="0.7" right="0.7" top="0.25" bottom="0.25" header="0.3" footer="0.05"/>
  <pageSetup paperSize="9" scale="57" orientation="landscape" r:id="rId1"/>
  <headerFooter>
    <oddFooter>&amp;R&amp;Z&amp;F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3"/>
  <sheetViews>
    <sheetView tabSelected="1" topLeftCell="A37" zoomScale="115" zoomScaleNormal="115" workbookViewId="0">
      <selection activeCell="C50" sqref="C50"/>
    </sheetView>
  </sheetViews>
  <sheetFormatPr defaultColWidth="9.140625" defaultRowHeight="13.15" customHeight="1" x14ac:dyDescent="0.25"/>
  <cols>
    <col min="1" max="1" width="6.42578125" style="3" customWidth="1"/>
    <col min="2" max="2" width="14.28515625" style="127" customWidth="1"/>
    <col min="3" max="3" width="44.42578125" style="1" customWidth="1"/>
    <col min="4" max="4" width="18.28515625" style="133" bestFit="1" customWidth="1"/>
    <col min="5" max="5" width="20.7109375" style="2" customWidth="1"/>
    <col min="6" max="6" width="24.7109375" style="138" bestFit="1" customWidth="1"/>
    <col min="7" max="7" width="20.7109375" style="3" customWidth="1"/>
    <col min="8" max="8" width="33.28515625" style="3" bestFit="1" customWidth="1"/>
    <col min="9" max="9" width="72.140625" style="3" customWidth="1"/>
    <col min="10" max="10" width="16.140625" style="3" bestFit="1" customWidth="1"/>
    <col min="11" max="11" width="15.7109375" style="3" bestFit="1" customWidth="1"/>
    <col min="12" max="12" width="16.140625" style="3" bestFit="1" customWidth="1"/>
    <col min="13" max="16384" width="9.140625" style="3"/>
  </cols>
  <sheetData>
    <row r="1" spans="1:10" ht="13.15" customHeight="1" x14ac:dyDescent="0.25">
      <c r="A1" s="241" t="s">
        <v>71</v>
      </c>
      <c r="B1" s="241"/>
      <c r="C1" s="241"/>
      <c r="D1" s="241"/>
      <c r="E1" s="241"/>
      <c r="F1" s="241"/>
    </row>
    <row r="2" spans="1:10" ht="13.15" customHeight="1" x14ac:dyDescent="0.25">
      <c r="A2" s="4"/>
    </row>
    <row r="3" spans="1:10" ht="13.15" customHeight="1" x14ac:dyDescent="0.25">
      <c r="A3" s="242" t="s">
        <v>72</v>
      </c>
      <c r="B3" s="242"/>
      <c r="C3" s="242"/>
      <c r="D3" s="242"/>
      <c r="E3" s="242"/>
      <c r="F3" s="242"/>
    </row>
    <row r="4" spans="1:10" ht="13.15" customHeight="1" x14ac:dyDescent="0.25">
      <c r="A4" s="4" t="s">
        <v>88</v>
      </c>
    </row>
    <row r="5" spans="1:10" ht="13.15" customHeight="1" x14ac:dyDescent="0.25">
      <c r="A5" s="4"/>
    </row>
    <row r="6" spans="1:10" ht="13.15" customHeight="1" x14ac:dyDescent="0.25">
      <c r="A6" s="243" t="s">
        <v>75</v>
      </c>
      <c r="B6" s="244"/>
      <c r="C6" s="244"/>
      <c r="D6" s="244"/>
      <c r="E6" s="244"/>
      <c r="F6" s="139"/>
    </row>
    <row r="7" spans="1:10" ht="13.15" customHeight="1" x14ac:dyDescent="0.25">
      <c r="A7" s="249" t="s">
        <v>100</v>
      </c>
      <c r="B7" s="250"/>
      <c r="C7" s="250"/>
      <c r="D7" s="250"/>
      <c r="E7" s="250"/>
      <c r="F7" s="251"/>
      <c r="G7" s="5"/>
    </row>
    <row r="8" spans="1:10" s="11" customFormat="1" ht="13.15" customHeight="1" x14ac:dyDescent="0.25">
      <c r="A8" s="6"/>
      <c r="B8" s="7" t="s">
        <v>14</v>
      </c>
      <c r="C8" s="8" t="s">
        <v>15</v>
      </c>
      <c r="D8" s="9" t="s">
        <v>16</v>
      </c>
      <c r="E8" s="10" t="s">
        <v>17</v>
      </c>
      <c r="F8" s="140" t="s">
        <v>18</v>
      </c>
      <c r="G8" s="5"/>
      <c r="H8" s="98"/>
      <c r="J8" s="12"/>
    </row>
    <row r="9" spans="1:10" s="11" customFormat="1" ht="13.15" customHeight="1" x14ac:dyDescent="0.25">
      <c r="A9" s="13"/>
      <c r="B9" s="128"/>
      <c r="C9" s="14"/>
      <c r="D9" s="134"/>
      <c r="E9" s="15"/>
      <c r="F9" s="141"/>
      <c r="G9" s="5"/>
      <c r="J9" s="12"/>
    </row>
    <row r="10" spans="1:10" s="11" customFormat="1" ht="13.15" customHeight="1" x14ac:dyDescent="0.25">
      <c r="A10" s="16" t="s">
        <v>19</v>
      </c>
      <c r="B10" s="17" t="s">
        <v>9</v>
      </c>
      <c r="C10" s="18"/>
      <c r="D10" s="135"/>
      <c r="E10" s="19"/>
      <c r="F10" s="142"/>
      <c r="G10" s="20"/>
    </row>
    <row r="11" spans="1:10" s="11" customFormat="1" ht="13.15" customHeight="1" x14ac:dyDescent="0.25">
      <c r="A11" s="175" t="s">
        <v>108</v>
      </c>
      <c r="B11" s="245" t="s">
        <v>89</v>
      </c>
      <c r="C11" s="246"/>
      <c r="D11" s="180"/>
      <c r="E11" s="180"/>
      <c r="F11" s="191"/>
      <c r="G11" s="23"/>
    </row>
    <row r="12" spans="1:10" s="11" customFormat="1" ht="13.15" customHeight="1" x14ac:dyDescent="0.25">
      <c r="A12" s="175"/>
      <c r="B12" s="247" t="s">
        <v>120</v>
      </c>
      <c r="C12" s="248"/>
      <c r="D12" s="161"/>
      <c r="E12" s="161"/>
      <c r="F12" s="191"/>
      <c r="G12" s="23"/>
    </row>
    <row r="13" spans="1:10" s="11" customFormat="1" ht="13.15" customHeight="1" x14ac:dyDescent="0.25">
      <c r="A13" s="176"/>
      <c r="B13" s="206" t="s">
        <v>90</v>
      </c>
      <c r="C13" s="181" t="s">
        <v>92</v>
      </c>
      <c r="D13" s="182"/>
      <c r="E13" s="183" t="s">
        <v>131</v>
      </c>
      <c r="F13" s="184" t="s">
        <v>125</v>
      </c>
      <c r="G13" s="23"/>
    </row>
    <row r="14" spans="1:10" s="29" customFormat="1" ht="13.15" customHeight="1" x14ac:dyDescent="0.2">
      <c r="A14" s="169"/>
      <c r="B14" s="115"/>
      <c r="C14" s="64"/>
      <c r="D14" s="116"/>
      <c r="E14" s="28"/>
      <c r="F14" s="192"/>
      <c r="G14" s="26"/>
    </row>
    <row r="15" spans="1:10" s="29" customFormat="1" ht="13.15" customHeight="1" x14ac:dyDescent="0.2">
      <c r="A15" s="177"/>
      <c r="B15" s="226" t="s">
        <v>20</v>
      </c>
      <c r="C15" s="227"/>
      <c r="D15" s="228"/>
      <c r="E15" s="229"/>
      <c r="F15" s="193" t="s">
        <v>102</v>
      </c>
      <c r="G15" s="30"/>
      <c r="H15" s="52"/>
    </row>
    <row r="16" spans="1:10" s="29" customFormat="1" ht="13.15" customHeight="1" x14ac:dyDescent="0.2">
      <c r="A16" s="169"/>
      <c r="B16" s="232"/>
      <c r="C16" s="233"/>
      <c r="D16" s="233"/>
      <c r="E16" s="234"/>
      <c r="F16" s="194"/>
      <c r="G16" s="26"/>
    </row>
    <row r="17" spans="1:22" s="31" customFormat="1" ht="13.15" customHeight="1" x14ac:dyDescent="0.25">
      <c r="A17" s="170" t="s">
        <v>21</v>
      </c>
      <c r="B17" s="235" t="s">
        <v>11</v>
      </c>
      <c r="C17" s="236"/>
      <c r="D17" s="236"/>
      <c r="E17" s="237"/>
      <c r="F17" s="195"/>
      <c r="G17" s="5"/>
    </row>
    <row r="18" spans="1:22" s="118" customFormat="1" ht="13.15" customHeight="1" x14ac:dyDescent="0.25">
      <c r="A18" s="171"/>
      <c r="B18" s="206" t="s">
        <v>90</v>
      </c>
      <c r="C18" s="185" t="s">
        <v>92</v>
      </c>
      <c r="D18" s="186"/>
      <c r="E18" s="187" t="s">
        <v>131</v>
      </c>
      <c r="F18" s="184" t="s">
        <v>125</v>
      </c>
      <c r="G18" s="117"/>
    </row>
    <row r="19" spans="1:22" s="31" customFormat="1" ht="13.15" customHeight="1" x14ac:dyDescent="0.25">
      <c r="A19" s="172"/>
      <c r="B19" s="32"/>
      <c r="C19" s="33"/>
      <c r="D19" s="125"/>
      <c r="E19" s="34"/>
      <c r="F19" s="194"/>
      <c r="G19" s="35"/>
    </row>
    <row r="20" spans="1:22" s="29" customFormat="1" ht="13.15" customHeight="1" x14ac:dyDescent="0.2">
      <c r="A20" s="177"/>
      <c r="B20" s="226" t="s">
        <v>22</v>
      </c>
      <c r="C20" s="228"/>
      <c r="D20" s="228"/>
      <c r="E20" s="229"/>
      <c r="F20" s="193" t="s">
        <v>105</v>
      </c>
      <c r="G20" s="30"/>
    </row>
    <row r="21" spans="1:22" s="29" customFormat="1" ht="13.15" customHeight="1" x14ac:dyDescent="0.2">
      <c r="A21" s="169"/>
      <c r="B21" s="238"/>
      <c r="C21" s="239"/>
      <c r="D21" s="239"/>
      <c r="E21" s="240"/>
      <c r="F21" s="194"/>
      <c r="G21" s="26"/>
    </row>
    <row r="22" spans="1:22" s="29" customFormat="1" ht="13.15" customHeight="1" x14ac:dyDescent="0.2">
      <c r="A22" s="170" t="s">
        <v>23</v>
      </c>
      <c r="B22" s="235" t="s">
        <v>10</v>
      </c>
      <c r="C22" s="236"/>
      <c r="D22" s="236"/>
      <c r="E22" s="237"/>
      <c r="F22" s="195"/>
      <c r="G22" s="30"/>
    </row>
    <row r="23" spans="1:22" s="120" customFormat="1" ht="13.15" customHeight="1" x14ac:dyDescent="0.2">
      <c r="A23" s="173"/>
      <c r="B23" s="206" t="s">
        <v>90</v>
      </c>
      <c r="C23" s="181" t="s">
        <v>92</v>
      </c>
      <c r="D23" s="188"/>
      <c r="E23" s="187" t="s">
        <v>131</v>
      </c>
      <c r="F23" s="184" t="s">
        <v>125</v>
      </c>
      <c r="G23" s="119"/>
    </row>
    <row r="24" spans="1:22" s="29" customFormat="1" ht="13.15" customHeight="1" x14ac:dyDescent="0.2">
      <c r="A24" s="174"/>
      <c r="B24" s="129"/>
      <c r="C24" s="101"/>
      <c r="D24" s="136"/>
      <c r="E24" s="102"/>
      <c r="F24" s="184"/>
      <c r="G24" s="26"/>
    </row>
    <row r="25" spans="1:22" s="29" customFormat="1" ht="13.15" customHeight="1" x14ac:dyDescent="0.2">
      <c r="A25" s="177"/>
      <c r="B25" s="226" t="s">
        <v>22</v>
      </c>
      <c r="C25" s="228"/>
      <c r="D25" s="228"/>
      <c r="E25" s="229"/>
      <c r="F25" s="193" t="s">
        <v>104</v>
      </c>
      <c r="G25" s="26"/>
    </row>
    <row r="26" spans="1:22" s="29" customFormat="1" ht="13.15" customHeight="1" x14ac:dyDescent="0.2">
      <c r="A26" s="169"/>
      <c r="B26" s="32"/>
      <c r="C26" s="38"/>
      <c r="D26" s="24"/>
      <c r="E26" s="34"/>
      <c r="F26" s="196"/>
      <c r="G26" s="30"/>
    </row>
    <row r="27" spans="1:22" s="29" customFormat="1" ht="13.15" customHeight="1" x14ac:dyDescent="0.25">
      <c r="A27" s="170" t="s">
        <v>24</v>
      </c>
      <c r="B27" s="235" t="s">
        <v>12</v>
      </c>
      <c r="C27" s="236"/>
      <c r="D27" s="236"/>
      <c r="E27" s="237"/>
      <c r="F27" s="195"/>
      <c r="G27" s="26"/>
      <c r="H27" s="36"/>
      <c r="I27" s="36"/>
      <c r="J27" s="37"/>
      <c r="K27" s="26"/>
      <c r="L27" s="25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s="120" customFormat="1" ht="13.15" customHeight="1" x14ac:dyDescent="0.25">
      <c r="A28" s="171"/>
      <c r="B28" s="207" t="s">
        <v>90</v>
      </c>
      <c r="C28" s="181" t="s">
        <v>92</v>
      </c>
      <c r="D28" s="186"/>
      <c r="E28" s="187" t="s">
        <v>131</v>
      </c>
      <c r="F28" s="197" t="s">
        <v>125</v>
      </c>
      <c r="G28" s="119"/>
      <c r="H28" s="121"/>
      <c r="I28" s="121"/>
      <c r="J28" s="122"/>
      <c r="K28" s="119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2" s="29" customFormat="1" ht="13.15" customHeight="1" x14ac:dyDescent="0.25">
      <c r="A29" s="172"/>
      <c r="B29" s="130"/>
      <c r="C29" s="65"/>
      <c r="D29" s="125"/>
      <c r="E29" s="34"/>
      <c r="F29" s="198"/>
      <c r="G29" s="26"/>
      <c r="H29" s="36"/>
      <c r="I29" s="36"/>
      <c r="J29" s="37"/>
      <c r="K29" s="26"/>
      <c r="L29" s="25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s="29" customFormat="1" ht="13.15" customHeight="1" x14ac:dyDescent="0.25">
      <c r="A30" s="177"/>
      <c r="B30" s="226" t="s">
        <v>22</v>
      </c>
      <c r="C30" s="228"/>
      <c r="D30" s="228"/>
      <c r="E30" s="229"/>
      <c r="F30" s="193" t="s">
        <v>103</v>
      </c>
      <c r="G30" s="26"/>
      <c r="H30" s="36"/>
      <c r="I30" s="36"/>
      <c r="J30" s="37"/>
      <c r="K30" s="26"/>
      <c r="L30" s="25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s="29" customFormat="1" ht="13.15" customHeight="1" x14ac:dyDescent="0.25">
      <c r="A31" s="169"/>
      <c r="B31" s="32"/>
      <c r="C31" s="38"/>
      <c r="D31" s="24"/>
      <c r="E31" s="34"/>
      <c r="F31" s="196"/>
      <c r="G31" s="26"/>
      <c r="H31" s="36"/>
      <c r="I31" s="36"/>
      <c r="J31" s="37"/>
      <c r="K31" s="26"/>
      <c r="L31" s="25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11" customFormat="1" ht="13.15" customHeight="1" x14ac:dyDescent="0.25">
      <c r="A32" s="170" t="s">
        <v>25</v>
      </c>
      <c r="B32" s="17" t="s">
        <v>13</v>
      </c>
      <c r="C32" s="18"/>
      <c r="D32" s="135"/>
      <c r="E32" s="19"/>
      <c r="F32" s="199"/>
      <c r="G32" s="20"/>
    </row>
    <row r="33" spans="1:22" s="11" customFormat="1" ht="13.15" customHeight="1" x14ac:dyDescent="0.25">
      <c r="A33" s="175"/>
      <c r="B33" s="230"/>
      <c r="C33" s="231"/>
      <c r="D33" s="21"/>
      <c r="E33" s="22"/>
      <c r="F33" s="200"/>
      <c r="G33" s="23"/>
    </row>
    <row r="34" spans="1:22" s="124" customFormat="1" ht="13.15" customHeight="1" x14ac:dyDescent="0.25">
      <c r="A34" s="178"/>
      <c r="B34" s="208" t="s">
        <v>90</v>
      </c>
      <c r="C34" s="209" t="s">
        <v>92</v>
      </c>
      <c r="D34" s="189"/>
      <c r="E34" s="190" t="s">
        <v>131</v>
      </c>
      <c r="F34" s="201" t="s">
        <v>91</v>
      </c>
      <c r="G34" s="123"/>
    </row>
    <row r="35" spans="1:22" s="29" customFormat="1" ht="13.15" customHeight="1" x14ac:dyDescent="0.2">
      <c r="A35" s="169"/>
      <c r="B35" s="126"/>
      <c r="C35" s="27"/>
      <c r="D35" s="125"/>
      <c r="E35" s="28"/>
      <c r="F35" s="202"/>
      <c r="G35" s="26"/>
    </row>
    <row r="36" spans="1:22" s="29" customFormat="1" ht="13.15" customHeight="1" x14ac:dyDescent="0.25">
      <c r="A36" s="177"/>
      <c r="B36" s="226" t="s">
        <v>20</v>
      </c>
      <c r="C36" s="227"/>
      <c r="D36" s="228"/>
      <c r="E36" s="229"/>
      <c r="F36" s="193" t="s">
        <v>106</v>
      </c>
      <c r="G36" s="26"/>
      <c r="H36" s="36"/>
      <c r="I36" s="36"/>
      <c r="J36" s="37"/>
      <c r="K36" s="26"/>
      <c r="L36" s="25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ht="13.15" customHeight="1" x14ac:dyDescent="0.25">
      <c r="A37" s="179"/>
      <c r="B37" s="214"/>
      <c r="C37" s="215"/>
      <c r="D37" s="215"/>
      <c r="E37" s="216"/>
      <c r="F37" s="203"/>
    </row>
    <row r="38" spans="1:22" ht="13.15" customHeight="1" x14ac:dyDescent="0.25">
      <c r="A38" s="170" t="s">
        <v>26</v>
      </c>
      <c r="B38" s="217" t="s">
        <v>27</v>
      </c>
      <c r="C38" s="218"/>
      <c r="D38" s="218"/>
      <c r="E38" s="219"/>
      <c r="F38" s="195" t="s">
        <v>107</v>
      </c>
    </row>
    <row r="39" spans="1:22" ht="13.15" customHeight="1" x14ac:dyDescent="0.25">
      <c r="A39" s="169"/>
      <c r="B39" s="220"/>
      <c r="C39" s="221"/>
      <c r="D39" s="221"/>
      <c r="E39" s="222"/>
      <c r="F39" s="204"/>
    </row>
    <row r="40" spans="1:22" ht="13.15" customHeight="1" x14ac:dyDescent="0.25">
      <c r="A40" s="172" t="s">
        <v>28</v>
      </c>
      <c r="B40" s="223" t="s">
        <v>29</v>
      </c>
      <c r="C40" s="224"/>
      <c r="D40" s="224"/>
      <c r="E40" s="225"/>
      <c r="F40" s="205" t="e">
        <f>F38-F36</f>
        <v>#VALUE!</v>
      </c>
    </row>
    <row r="41" spans="1:22" ht="13.15" customHeight="1" x14ac:dyDescent="0.25">
      <c r="A41" s="172" t="s">
        <v>30</v>
      </c>
      <c r="B41" s="223" t="s">
        <v>132</v>
      </c>
      <c r="C41" s="224"/>
      <c r="D41" s="224"/>
      <c r="E41" s="225"/>
      <c r="F41" s="205" t="e">
        <f>ROUND(F40*A42%, 2)</f>
        <v>#VALUE!</v>
      </c>
    </row>
    <row r="42" spans="1:22" ht="13.15" customHeight="1" x14ac:dyDescent="0.25">
      <c r="A42" s="252" t="s">
        <v>136</v>
      </c>
      <c r="B42" s="211"/>
      <c r="C42" s="212"/>
      <c r="D42" s="212"/>
      <c r="E42" s="213"/>
      <c r="F42" s="194"/>
    </row>
    <row r="43" spans="1:22" ht="13.15" customHeight="1" x14ac:dyDescent="0.25">
      <c r="A43" s="169"/>
      <c r="B43" s="211" t="s">
        <v>31</v>
      </c>
      <c r="C43" s="212"/>
      <c r="D43" s="212"/>
      <c r="E43" s="213"/>
      <c r="F43" s="204" t="e">
        <f>F38+F41</f>
        <v>#VALUE!</v>
      </c>
    </row>
  </sheetData>
  <mergeCells count="24">
    <mergeCell ref="A1:F1"/>
    <mergeCell ref="A3:F3"/>
    <mergeCell ref="A6:E6"/>
    <mergeCell ref="B11:C11"/>
    <mergeCell ref="B12:C12"/>
    <mergeCell ref="A7:F7"/>
    <mergeCell ref="B36:E36"/>
    <mergeCell ref="B33:C33"/>
    <mergeCell ref="B15:E15"/>
    <mergeCell ref="B16:E16"/>
    <mergeCell ref="B17:E17"/>
    <mergeCell ref="B20:E20"/>
    <mergeCell ref="B21:E21"/>
    <mergeCell ref="B25:E25"/>
    <mergeCell ref="B27:E27"/>
    <mergeCell ref="B30:E30"/>
    <mergeCell ref="B22:E22"/>
    <mergeCell ref="B43:E43"/>
    <mergeCell ref="B37:E37"/>
    <mergeCell ref="B38:E38"/>
    <mergeCell ref="B39:E39"/>
    <mergeCell ref="B40:E40"/>
    <mergeCell ref="B41:E41"/>
    <mergeCell ref="B42:E42"/>
  </mergeCells>
  <printOptions horizontalCentered="1"/>
  <pageMargins left="0.45866141700000002" right="0.5" top="0.35433070866141703" bottom="0.56496062999999996" header="0.31496062992126" footer="0.31496062992126"/>
  <pageSetup paperSize="9" scale="69" orientation="portrait" r:id="rId1"/>
  <headerFooter>
    <oddFooter>&amp;CMain - 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topLeftCell="A21" zoomScaleNormal="100" workbookViewId="0">
      <selection activeCell="B30" sqref="B30"/>
    </sheetView>
  </sheetViews>
  <sheetFormatPr defaultColWidth="9.140625" defaultRowHeight="13.9" customHeight="1" x14ac:dyDescent="0.25"/>
  <cols>
    <col min="1" max="1" width="49.42578125" style="3" customWidth="1"/>
    <col min="2" max="2" width="32.28515625" style="3" bestFit="1" customWidth="1"/>
    <col min="3" max="3" width="32.28515625" style="3" customWidth="1"/>
    <col min="4" max="4" width="20.28515625" style="3" customWidth="1"/>
    <col min="5" max="5" width="19" style="3" customWidth="1"/>
    <col min="6" max="6" width="24.85546875" style="3" bestFit="1" customWidth="1"/>
    <col min="7" max="7" width="17.28515625" style="3" customWidth="1"/>
    <col min="8" max="16384" width="9.140625" style="3"/>
  </cols>
  <sheetData>
    <row r="1" spans="1:7" s="29" customFormat="1" ht="13.9" customHeight="1" x14ac:dyDescent="0.2">
      <c r="A1" s="39" t="s">
        <v>73</v>
      </c>
      <c r="D1" s="40"/>
    </row>
    <row r="2" spans="1:7" s="29" customFormat="1" ht="13.9" customHeight="1" x14ac:dyDescent="0.2">
      <c r="A2" s="40"/>
      <c r="D2" s="40"/>
    </row>
    <row r="3" spans="1:7" s="29" customFormat="1" ht="13.9" customHeight="1" x14ac:dyDescent="0.2">
      <c r="A3" s="41" t="s">
        <v>32</v>
      </c>
      <c r="B3" s="160"/>
      <c r="D3" s="40"/>
    </row>
    <row r="4" spans="1:7" s="29" customFormat="1" ht="13.9" customHeight="1" x14ac:dyDescent="0.2">
      <c r="A4" s="41" t="s">
        <v>33</v>
      </c>
      <c r="B4" s="103" t="s">
        <v>93</v>
      </c>
      <c r="D4" s="40"/>
    </row>
    <row r="5" spans="1:7" s="29" customFormat="1" ht="13.9" customHeight="1" x14ac:dyDescent="0.2">
      <c r="A5" s="41" t="s">
        <v>34</v>
      </c>
      <c r="B5" s="103" t="s">
        <v>94</v>
      </c>
      <c r="D5" s="40"/>
    </row>
    <row r="6" spans="1:7" s="29" customFormat="1" ht="13.9" customHeight="1" x14ac:dyDescent="0.2">
      <c r="A6" s="41" t="s">
        <v>35</v>
      </c>
      <c r="B6" s="104" t="s">
        <v>95</v>
      </c>
      <c r="D6" s="40"/>
    </row>
    <row r="7" spans="1:7" s="29" customFormat="1" ht="13.9" customHeight="1" x14ac:dyDescent="0.2">
      <c r="A7" s="41" t="s">
        <v>36</v>
      </c>
      <c r="B7" s="105" t="s">
        <v>96</v>
      </c>
      <c r="D7" s="42" t="s">
        <v>37</v>
      </c>
      <c r="E7" s="106" t="s">
        <v>97</v>
      </c>
    </row>
    <row r="8" spans="1:7" s="29" customFormat="1" ht="13.9" customHeight="1" x14ac:dyDescent="0.2">
      <c r="A8" s="41" t="s">
        <v>38</v>
      </c>
      <c r="B8" s="63" t="e">
        <f>C19</f>
        <v>#VALUE!</v>
      </c>
      <c r="D8" s="43"/>
    </row>
    <row r="9" spans="1:7" s="29" customFormat="1" ht="13.9" customHeight="1" thickBot="1" x14ac:dyDescent="0.3">
      <c r="A9" s="40"/>
      <c r="D9" s="40"/>
      <c r="E9" s="44"/>
      <c r="F9" s="44"/>
      <c r="G9" s="31"/>
    </row>
    <row r="10" spans="1:7" s="29" customFormat="1" ht="31.9" customHeight="1" thickBot="1" x14ac:dyDescent="0.3">
      <c r="A10" s="45"/>
      <c r="B10" s="46" t="s">
        <v>39</v>
      </c>
      <c r="C10" s="144" t="s">
        <v>121</v>
      </c>
      <c r="D10" s="47" t="s">
        <v>40</v>
      </c>
      <c r="G10" s="31"/>
    </row>
    <row r="11" spans="1:7" s="29" customFormat="1" ht="16.899999999999999" customHeight="1" thickBot="1" x14ac:dyDescent="0.3">
      <c r="A11" s="48" t="s">
        <v>41</v>
      </c>
      <c r="B11" s="49" t="s">
        <v>42</v>
      </c>
      <c r="C11" s="49" t="s">
        <v>42</v>
      </c>
      <c r="D11" s="50"/>
      <c r="G11" s="31"/>
    </row>
    <row r="12" spans="1:7" s="29" customFormat="1" ht="16.899999999999999" customHeight="1" x14ac:dyDescent="0.2">
      <c r="A12" s="51" t="s">
        <v>9</v>
      </c>
      <c r="B12" s="107" t="s">
        <v>78</v>
      </c>
      <c r="C12" s="107" t="s">
        <v>79</v>
      </c>
      <c r="D12" s="54" t="s">
        <v>109</v>
      </c>
      <c r="F12" s="52"/>
      <c r="G12" s="52"/>
    </row>
    <row r="13" spans="1:7" s="29" customFormat="1" ht="16.899999999999999" customHeight="1" x14ac:dyDescent="0.2">
      <c r="A13" s="53" t="s">
        <v>11</v>
      </c>
      <c r="B13" s="107" t="s">
        <v>78</v>
      </c>
      <c r="C13" s="107" t="s">
        <v>79</v>
      </c>
      <c r="D13" s="54" t="s">
        <v>109</v>
      </c>
      <c r="F13" s="52"/>
      <c r="G13" s="52"/>
    </row>
    <row r="14" spans="1:7" s="29" customFormat="1" ht="16.899999999999999" customHeight="1" x14ac:dyDescent="0.2">
      <c r="A14" s="53" t="s">
        <v>10</v>
      </c>
      <c r="B14" s="107" t="s">
        <v>78</v>
      </c>
      <c r="C14" s="107" t="s">
        <v>79</v>
      </c>
      <c r="D14" s="54" t="s">
        <v>109</v>
      </c>
      <c r="F14" s="52"/>
      <c r="G14" s="52"/>
    </row>
    <row r="15" spans="1:7" s="29" customFormat="1" ht="16.899999999999999" customHeight="1" x14ac:dyDescent="0.2">
      <c r="A15" s="53" t="s">
        <v>12</v>
      </c>
      <c r="B15" s="107" t="s">
        <v>78</v>
      </c>
      <c r="C15" s="107" t="s">
        <v>79</v>
      </c>
      <c r="D15" s="54" t="s">
        <v>109</v>
      </c>
      <c r="F15" s="52"/>
      <c r="G15" s="52"/>
    </row>
    <row r="16" spans="1:7" s="29" customFormat="1" ht="16.899999999999999" customHeight="1" x14ac:dyDescent="0.2">
      <c r="A16" s="53" t="s">
        <v>13</v>
      </c>
      <c r="B16" s="107" t="s">
        <v>78</v>
      </c>
      <c r="C16" s="107" t="s">
        <v>79</v>
      </c>
      <c r="D16" s="54" t="s">
        <v>109</v>
      </c>
      <c r="F16" s="52"/>
      <c r="G16" s="52"/>
    </row>
    <row r="17" spans="1:11" s="29" customFormat="1" ht="16.899999999999999" customHeight="1" x14ac:dyDescent="0.2">
      <c r="A17" s="53" t="s">
        <v>43</v>
      </c>
      <c r="B17" s="107">
        <f>SUM(B12:B16)</f>
        <v>0</v>
      </c>
      <c r="C17" s="107">
        <f>SUM(C12:C16)</f>
        <v>0</v>
      </c>
      <c r="D17" s="55" t="s">
        <v>98</v>
      </c>
      <c r="G17" s="52"/>
    </row>
    <row r="18" spans="1:11" s="29" customFormat="1" ht="16.899999999999999" customHeight="1" x14ac:dyDescent="0.2">
      <c r="A18" s="53" t="s">
        <v>134</v>
      </c>
      <c r="B18" s="107" t="s">
        <v>82</v>
      </c>
      <c r="C18" s="143" t="s">
        <v>101</v>
      </c>
      <c r="D18" s="56"/>
      <c r="G18" s="52"/>
    </row>
    <row r="19" spans="1:11" s="29" customFormat="1" ht="16.899999999999999" customHeight="1" thickBot="1" x14ac:dyDescent="0.25">
      <c r="A19" s="57" t="s">
        <v>44</v>
      </c>
      <c r="B19" s="108" t="e">
        <f>SUM(B17+B18)</f>
        <v>#VALUE!</v>
      </c>
      <c r="C19" s="108" t="e">
        <f>SUM(C17+C18)</f>
        <v>#VALUE!</v>
      </c>
      <c r="D19" s="58"/>
      <c r="G19" s="52"/>
    </row>
    <row r="20" spans="1:11" s="29" customFormat="1" ht="16.899999999999999" customHeight="1" x14ac:dyDescent="0.2">
      <c r="B20" s="52"/>
      <c r="C20" s="52"/>
      <c r="D20" s="59"/>
      <c r="E20" s="52"/>
      <c r="F20" s="52"/>
      <c r="G20" s="52"/>
      <c r="H20" s="52"/>
      <c r="I20" s="52"/>
      <c r="J20" s="52"/>
      <c r="K20" s="52"/>
    </row>
    <row r="21" spans="1:11" s="29" customFormat="1" ht="16.899999999999999" customHeight="1" x14ac:dyDescent="0.25">
      <c r="A21" s="60" t="s">
        <v>45</v>
      </c>
      <c r="D21" s="40"/>
    </row>
    <row r="22" spans="1:11" s="29" customFormat="1" ht="16.899999999999999" customHeight="1" thickBot="1" x14ac:dyDescent="0.3">
      <c r="A22" s="60"/>
      <c r="D22" s="40"/>
    </row>
    <row r="23" spans="1:11" s="29" customFormat="1" ht="16.899999999999999" customHeight="1" thickBot="1" x14ac:dyDescent="0.25">
      <c r="A23" s="61"/>
      <c r="B23" s="137" t="s">
        <v>122</v>
      </c>
      <c r="C23" s="150" t="s">
        <v>46</v>
      </c>
      <c r="D23" s="151" t="s">
        <v>47</v>
      </c>
    </row>
    <row r="24" spans="1:11" s="29" customFormat="1" ht="16.899999999999999" customHeight="1" x14ac:dyDescent="0.2">
      <c r="A24" s="51" t="s">
        <v>9</v>
      </c>
      <c r="B24" s="109" t="s">
        <v>81</v>
      </c>
      <c r="C24" s="158">
        <f>SUM(B24)</f>
        <v>0</v>
      </c>
      <c r="D24" s="159">
        <f>IF(AND(C24&gt;0,B12&gt;0),(C24/B12),0)</f>
        <v>0</v>
      </c>
    </row>
    <row r="25" spans="1:11" s="29" customFormat="1" ht="16.899999999999999" customHeight="1" x14ac:dyDescent="0.2">
      <c r="A25" s="53" t="s">
        <v>11</v>
      </c>
      <c r="B25" s="109" t="s">
        <v>81</v>
      </c>
      <c r="C25" s="158">
        <f t="shared" ref="C25:C31" si="0">SUM(B25)</f>
        <v>0</v>
      </c>
      <c r="D25" s="159">
        <f t="shared" ref="D25:D31" si="1">IF(AND(C25&gt;0,B13&gt;0),(C25/B13),0)</f>
        <v>0</v>
      </c>
    </row>
    <row r="26" spans="1:11" s="29" customFormat="1" ht="16.899999999999999" customHeight="1" x14ac:dyDescent="0.2">
      <c r="A26" s="53" t="s">
        <v>10</v>
      </c>
      <c r="B26" s="109" t="s">
        <v>81</v>
      </c>
      <c r="C26" s="158">
        <f t="shared" si="0"/>
        <v>0</v>
      </c>
      <c r="D26" s="159">
        <f t="shared" si="1"/>
        <v>0</v>
      </c>
    </row>
    <row r="27" spans="1:11" s="29" customFormat="1" ht="16.899999999999999" customHeight="1" x14ac:dyDescent="0.2">
      <c r="A27" s="53" t="s">
        <v>12</v>
      </c>
      <c r="B27" s="109" t="s">
        <v>81</v>
      </c>
      <c r="C27" s="158">
        <f t="shared" si="0"/>
        <v>0</v>
      </c>
      <c r="D27" s="159">
        <f t="shared" si="1"/>
        <v>0</v>
      </c>
    </row>
    <row r="28" spans="1:11" s="29" customFormat="1" ht="16.899999999999999" customHeight="1" x14ac:dyDescent="0.2">
      <c r="A28" s="53" t="s">
        <v>13</v>
      </c>
      <c r="B28" s="109" t="s">
        <v>81</v>
      </c>
      <c r="C28" s="158">
        <f t="shared" si="0"/>
        <v>0</v>
      </c>
      <c r="D28" s="159">
        <f t="shared" si="1"/>
        <v>0</v>
      </c>
    </row>
    <row r="29" spans="1:11" s="29" customFormat="1" ht="15.75" customHeight="1" x14ac:dyDescent="0.2">
      <c r="A29" s="53" t="s">
        <v>48</v>
      </c>
      <c r="B29" s="110" t="s">
        <v>123</v>
      </c>
      <c r="C29" s="158">
        <f t="shared" si="0"/>
        <v>0</v>
      </c>
      <c r="D29" s="159">
        <f t="shared" si="1"/>
        <v>0</v>
      </c>
    </row>
    <row r="30" spans="1:11" s="29" customFormat="1" ht="24" customHeight="1" x14ac:dyDescent="0.2">
      <c r="A30" s="53" t="s">
        <v>135</v>
      </c>
      <c r="B30" s="110" t="e" cm="1">
        <f t="array" aca="1" ref="B30" ca="1">SUMPRODUCT(MID(0&amp;A30, LARGE(INDEX(ISNUMBER(--MID(A30, ROW(INDIRECT("1:"&amp;LEN(A30))), 1)) * ROW(INDIRECT("1:"&amp;LEN(A30))), 0), ROW(INDIRECT("1:"&amp;LEN(A30))))+1, 1) * 10^ROW(INDIRECT("1:"&amp;LEN(A30)))/10)%*B29</f>
        <v>#VALUE!</v>
      </c>
      <c r="C30" s="158" t="e">
        <f t="shared" ca="1" si="0"/>
        <v>#VALUE!</v>
      </c>
      <c r="D30" s="159" t="e">
        <f t="shared" ca="1" si="1"/>
        <v>#VALUE!</v>
      </c>
    </row>
    <row r="31" spans="1:11" s="29" customFormat="1" ht="16.899999999999999" customHeight="1" x14ac:dyDescent="0.2">
      <c r="A31" s="53" t="s">
        <v>49</v>
      </c>
      <c r="B31" s="110" t="s">
        <v>124</v>
      </c>
      <c r="C31" s="158">
        <f t="shared" si="0"/>
        <v>0</v>
      </c>
      <c r="D31" s="159" t="e">
        <f t="shared" si="1"/>
        <v>#VALUE!</v>
      </c>
    </row>
    <row r="32" spans="1:11" s="29" customFormat="1" ht="16.899999999999999" customHeight="1" x14ac:dyDescent="0.2">
      <c r="A32" s="53" t="s">
        <v>50</v>
      </c>
      <c r="B32" s="110" t="e">
        <f>B31/B19</f>
        <v>#VALUE!</v>
      </c>
      <c r="C32" s="152"/>
      <c r="D32" s="153"/>
    </row>
    <row r="33" spans="1:11" s="29" customFormat="1" ht="16.899999999999999" customHeight="1" x14ac:dyDescent="0.2">
      <c r="A33" s="62" t="s">
        <v>51</v>
      </c>
      <c r="B33" s="110" t="str">
        <f>B31</f>
        <v>${claims.totalDirectAndIndirectClaimed}</v>
      </c>
      <c r="C33" s="154"/>
      <c r="D33" s="155"/>
    </row>
    <row r="34" spans="1:11" s="29" customFormat="1" ht="16.899999999999999" customHeight="1" thickBot="1" x14ac:dyDescent="0.25">
      <c r="A34" s="131" t="s">
        <v>52</v>
      </c>
      <c r="B34" s="132" t="e">
        <f>B33/B19</f>
        <v>#VALUE!</v>
      </c>
      <c r="C34" s="156"/>
      <c r="D34" s="157"/>
    </row>
    <row r="35" spans="1:11" ht="16.899999999999999" customHeight="1" x14ac:dyDescent="0.25">
      <c r="E35" s="29"/>
      <c r="F35" s="29"/>
      <c r="G35" s="29"/>
      <c r="H35" s="29"/>
      <c r="I35" s="29"/>
      <c r="J35" s="29"/>
      <c r="K35" s="29"/>
    </row>
    <row r="36" spans="1:11" ht="16.899999999999999" customHeight="1" x14ac:dyDescent="0.25"/>
    <row r="37" spans="1:11" ht="16.899999999999999" customHeight="1" x14ac:dyDescent="0.25"/>
    <row r="38" spans="1:11" ht="16.899999999999999" customHeight="1" x14ac:dyDescent="0.25"/>
    <row r="39" spans="1:11" ht="16.899999999999999" customHeight="1" x14ac:dyDescent="0.25"/>
    <row r="40" spans="1:11" ht="16.899999999999999" customHeight="1" x14ac:dyDescent="0.25"/>
    <row r="41" spans="1:11" ht="16.899999999999999" customHeight="1" x14ac:dyDescent="0.25"/>
  </sheetData>
  <conditionalFormatting sqref="B12:D19">
    <cfRule type="containsBlanks" dxfId="1" priority="8">
      <formula>LEN(TRIM(B12))=0</formula>
    </cfRule>
  </conditionalFormatting>
  <conditionalFormatting sqref="B23:D34">
    <cfRule type="containsBlanks" dxfId="0" priority="1">
      <formula>LEN(TRIM(B23))=0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&amp;CAdditional Information - 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7F183463271438D1894FE4B75B6BE" ma:contentTypeVersion="0" ma:contentTypeDescription="Create a new document." ma:contentTypeScope="" ma:versionID="5a43ddaa3fc1c4b5fbad922418d7efb5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9D768-293D-486F-9951-710D019E07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08F2D8-27A5-4C24-9672-39B487B42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AB6BDF6-C0F9-4E34-97F9-4C464851E652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New Drawdown Request</vt:lpstr>
      <vt:lpstr>Main</vt:lpstr>
      <vt:lpstr>Additional Information Needed</vt:lpstr>
      <vt:lpstr>Main!Print_Area</vt:lpstr>
      <vt:lpstr>'New Drawdown Request'!Print_Area</vt:lpstr>
    </vt:vector>
  </TitlesOfParts>
  <Company>PMO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Aswathy Raj</cp:lastModifiedBy>
  <cp:lastPrinted>2019-09-16T08:55:30Z</cp:lastPrinted>
  <dcterms:created xsi:type="dcterms:W3CDTF">2008-03-19T07:21:11Z</dcterms:created>
  <dcterms:modified xsi:type="dcterms:W3CDTF">2023-05-12T10:26:40Z</dcterms:modified>
</cp:coreProperties>
</file>