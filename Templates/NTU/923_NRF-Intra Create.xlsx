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ex E" sheetId="1" r:id="rId4"/>
    <sheet state="visible" name="Annex G" sheetId="2" r:id="rId5"/>
    <sheet state="visible" name="Annex I1" sheetId="3" r:id="rId6"/>
  </sheets>
  <definedNames/>
  <calcPr/>
  <extLst>
    <ext uri="GoogleSheetsCustomDataVersion1">
      <go:sheetsCustomData xmlns:go="http://customooxmlschemas.google.com/" r:id="rId7" roundtripDataSignature="AMtx7mgeF8X6ptgxHDJ13pqu09oxrH2cu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4">
      <text>
        <t xml:space="preserve">======
ID#AAAAwilBM78
Aswathy Raj    (2023-05-11 06:31:12)
jx:area(lastCell="K46")</t>
      </text>
    </comment>
    <comment authorId="0" ref="C13">
      <text>
        <t xml:space="preserve">======
ID#AAAAwilBM70
Aswathy Raj    (2023-05-11 06:31:12)
jx:area(lastCell="K13")
jx:each (items="claimVO.claimSummary" var="summary" lastCell="K13" select="summary.budgetCategory.code == 'RSS'")</t>
      </text>
    </comment>
    <comment authorId="0" ref="A1">
      <text>
        <t xml:space="preserve">======
ID#AAAAwilBM7w
Aswathy Raj    (2023-05-11 06:31:12)
jx:area(lastCell="K7")</t>
      </text>
    </comment>
    <comment authorId="0" ref="C12">
      <text>
        <t xml:space="preserve">======
ID#AAAAwilBM7s
Aswathy Raj    (2023-05-11 06:31:12)
jx:area(lastCell="K12")
jx:each (items="claimVO.claimSummary" var="summary" lastCell="K12" select="summary.budgetCategory.code == 'OST'")</t>
      </text>
    </comment>
    <comment authorId="0" ref="C10">
      <text>
        <t xml:space="preserve">======
ID#AAAAwilBM7o
Aswathy Raj    (2023-05-11 06:31:12)
jx:area(lastCell="K10")
jx:each (items="claimVO.claimSummary" var="summary" lastCell="K10" select="summary.budgetCategory.code == 'EQT'")</t>
      </text>
    </comment>
    <comment authorId="0" ref="C11">
      <text>
        <t xml:space="preserve">======
ID#AAAAwilBM7E
Aswathy Raj    (2023-05-11 06:31:12)
jx:area(lastCell="K11")</t>
      </text>
    </comment>
    <comment authorId="0" ref="C9">
      <text>
        <t xml:space="preserve">======
ID#AAAAwilBM68
Aswathy Raj    (2023-05-11 06:31:12)
jx:area(lastCell="K9")
jx:each (items="claimVO.claimSummary" var="summary" lastCell="K9" select="summary.budgetCategory.code == 'EOM'")</t>
      </text>
    </comment>
  </commentList>
  <extLst>
    <ext uri="GoogleSheetsCustomDataVersion1">
      <go:sheetsCustomData xmlns:go="http://customooxmlschemas.google.com/" r:id="rId1" roundtripDataSignature="AMtx7mi76k8VJ6jbLuS8AXXaRuApWJiq9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1">
      <text>
        <t xml:space="preserve">======
ID#AAAAwilBM7Y
Aswathy Raj    (2023-05-11 06:31:12)
jx:area(lastCell="K11")
jx:each (items="claimVO.claimSummary" var="summary" lastCell="K11" select="summary.budgetCategory.code == 'EOM'")</t>
      </text>
    </comment>
    <comment authorId="0" ref="A16">
      <text>
        <t xml:space="preserve">======
ID#AAAAwilBM7c
Aswathy Raj    (2023-05-11 06:31:12)
jx:area(lastCell="K49")</t>
      </text>
    </comment>
    <comment authorId="0" ref="C12">
      <text>
        <t xml:space="preserve">======
ID#AAAAwilBM7Q
Aswathy Raj    (2023-05-11 06:31:12)
jx:area(lastCell="K12")
jx:each (items="claimVO.claimSummary" var="summary" lastCell="K12" select="summary.budgetCategory.code == 'EQT'")</t>
      </text>
    </comment>
    <comment authorId="0" ref="C15">
      <text>
        <t xml:space="preserve">======
ID#AAAAwilBM7A
Aswathy Raj    (2023-05-11 06:31:12)
jx:area(lastCell="K15")
jx:each (items="claimVO.claimSummary" var="summary" lastCell="K15" select="summary.budgetCategory.code == 'RSS'")</t>
      </text>
    </comment>
    <comment authorId="0" ref="C13">
      <text>
        <t xml:space="preserve">======
ID#AAAAwilBM7I
Aswathy Raj    (2023-05-11 06:31:12)
jx:area(lastCell="K13")</t>
      </text>
    </comment>
    <comment authorId="0" ref="C14">
      <text>
        <t xml:space="preserve">======
ID#AAAAwilBM6w
Aswathy Raj    (2023-05-11 06:31:12)
jx:area(lastCell="K14")
jx:each (items="claimVO.claimSummary" var="summary" lastCell="K14" select="summary.budgetCategory.code == 'OST'")</t>
      </text>
    </comment>
    <comment authorId="0" ref="A1">
      <text>
        <t xml:space="preserve">======
ID#AAAAwilBM6s
Aswathy Raj    (2023-05-11 06:31:12)
jx:area(lastCell="K9")</t>
      </text>
    </comment>
  </commentList>
  <extLst>
    <ext uri="GoogleSheetsCustomDataVersion1">
      <go:sheetsCustomData xmlns:go="http://customooxmlschemas.google.com/" r:id="rId1" roundtripDataSignature="AMtx7mhB86qNKmrddbUL6Moy0HXCX5zRKg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6">
      <text>
        <t xml:space="preserve">======
ID#AAAAwilBM74
Aswathy Raj    (2023-05-11 06:31:12)
jx:area(lastCell="I47")</t>
      </text>
    </comment>
    <comment authorId="0" ref="C14">
      <text>
        <t xml:space="preserve">======
ID#AAAAwilBM7k
Aswathy Raj    (2023-05-11 06:31:12)
jx:area(lastCell="I14")
jx:each (items="claimVO.claimSummary" var="summary" lastCell="I14" select="summary.budgetCategory.code == 'OST'")</t>
      </text>
    </comment>
    <comment authorId="0" ref="A1">
      <text>
        <t xml:space="preserve">======
ID#AAAAwilBM7g
Aswathy Raj    (2023-05-11 06:31:12)
jx:area(lastCell="I9")</t>
      </text>
    </comment>
    <comment authorId="0" ref="C11">
      <text>
        <t xml:space="preserve">======
ID#AAAAwilBM7U
Aswathy Raj    (2023-05-11 06:31:12)
jx:area(lastCell="I11")
jx:each (items="claimVO.claimSummary" var="summary" lastCell="I11" select="summary.budgetCategory.code == 'EOM'")</t>
      </text>
    </comment>
    <comment authorId="0" ref="C12">
      <text>
        <t xml:space="preserve">======
ID#AAAAwilBM7M
Aswathy Raj    (2023-05-11 06:31:12)
jx:area(lastCell="I12")
jx:each (items="claimVO.claimSummary" var="summary" lastCell="I12" select="summary.budgetCategory.code == 'EQT'")</t>
      </text>
    </comment>
    <comment authorId="0" ref="C13">
      <text>
        <t xml:space="preserve">======
ID#AAAAwilBM64
Ajin VS    (2023-05-11 06:31:12)
jx:area(lastCell="I13")</t>
      </text>
    </comment>
    <comment authorId="0" ref="C15">
      <text>
        <t xml:space="preserve">======
ID#AAAAwilBM60
Aswathy Raj    (2023-05-11 06:31:12)
jx:area(lastCell="I15")
jx:each (items="claimVO.claimSummary" var="summary" lastCell="I15" select="summary.budgetCategory.code == 'RSS'")</t>
      </text>
    </comment>
  </commentList>
  <extLst>
    <ext uri="GoogleSheetsCustomDataVersion1">
      <go:sheetsCustomData xmlns:go="http://customooxmlschemas.google.com/" r:id="rId1" roundtripDataSignature="AMtx7mhdzpd67B+Xrcmg6qu90MmQin5W0w=="/>
    </ext>
  </extLst>
</comments>
</file>

<file path=xl/sharedStrings.xml><?xml version="1.0" encoding="utf-8"?>
<sst xmlns="http://schemas.openxmlformats.org/spreadsheetml/2006/main" count="234" uniqueCount="93">
  <si>
    <t>NATIONAL RESEARCH FUND FINAL STATEMENT OF ACCOUNT FOR FUNDING INITIATIVES (FI) / PROJECTS</t>
  </si>
  <si>
    <t>CONSOLIDATED STATEMENT</t>
  </si>
  <si>
    <t>FI / Project 
Cost Centre</t>
  </si>
  <si>
    <t>FI / Project 
Description</t>
  </si>
  <si>
    <t>FI / Project Start Date</t>
  </si>
  <si>
    <t>FI / Project End Date</t>
  </si>
  <si>
    <t>FI / Project Committed Budget</t>
  </si>
  <si>
    <t>FI / Project Current Year Budget</t>
  </si>
  <si>
    <t>Cumulative received 
as at</t>
  </si>
  <si>
    <t xml:space="preserve">Cumulative Expenditure 
as at </t>
  </si>
  <si>
    <t>Expenditure incurred in the last quarter</t>
  </si>
  <si>
    <t>Total Actual Expenditure 
incurred (NRF)</t>
  </si>
  <si>
    <t>Balance Funds To Be Returned to NRF / 
(To Be Disbursed)</t>
  </si>
  <si>
    <t>${claimVO.lastClaimEndDate}</t>
  </si>
  <si>
    <t>(a)</t>
  </si>
  <si>
    <t>(b)</t>
  </si>
  <si>
    <t xml:space="preserve">(c) </t>
  </si>
  <si>
    <t xml:space="preserve">(d) = (b) + (c) </t>
  </si>
  <si>
    <t xml:space="preserve">(c) = (a) - (b) </t>
  </si>
  <si>
    <t>Manpower (EOM)</t>
  </si>
  <si>
    <t>${claimVO.claim.award.beginDate}</t>
  </si>
  <si>
    <t>${claimVO.claim.award.finalExpirationDate}</t>
  </si>
  <si>
    <t>${summary.originalApprovedBudget}</t>
  </si>
  <si>
    <t>${summary.latestApprovedBudget}</t>
  </si>
  <si>
    <t>${summary.prevClaimsTotalAmount}</t>
  </si>
  <si>
    <t>${summary.expenseIncuredToThisPeriod}</t>
  </si>
  <si>
    <t>Equipment (EQP)</t>
  </si>
  <si>
    <t>Other Operating Expenses (OOE)</t>
  </si>
  <si>
    <t>${aggregator.sum(claimFilter.conditionedCSFilter(claimVO.claimSummary, "budgetCategoryCode", "OOE,MAC"), "originalApprovedBudget")}</t>
  </si>
  <si>
    <t>${aggregator.sum(claimFilter.conditionedCSFilter(claimVO.claimSummary, "budgetCategoryCode", "OOE,MAC"), "latestApprovedBudget")}</t>
  </si>
  <si>
    <t>${aggregator.sum(claimFilter.conditionedCSFilter(claimVO.claimSummary, "budgetCategoryCode", "OOE,MAC"), "prevClaimsTotalAmount")}</t>
  </si>
  <si>
    <t>${aggregator.sum(claimFilter.conditionedCSFilter(claimVO.claimSummary, "budgetCategoryCode", "OOE,MAC"), "expenseIncuredToThisPeriod")}</t>
  </si>
  <si>
    <t>Overseas Travel (OT)</t>
  </si>
  <si>
    <t>Research Scholarship (RS)</t>
  </si>
  <si>
    <t>Indirect Costs(${claimVO.oHPercentage}% Overheads)</t>
  </si>
  <si>
    <r>
      <rPr>
        <rFont val="Arial"/>
        <color theme="1"/>
        <sz val="10.0"/>
      </rPr>
      <t>Less Bank interest earned for ${claimVO.claimStartAndEndYear}</t>
    </r>
    <r>
      <rPr>
        <rFont val="Arial"/>
        <color theme="1"/>
        <sz val="10.0"/>
        <vertAlign val="superscript"/>
      </rPr>
      <t>#</t>
    </r>
  </si>
  <si>
    <t>Net Funds to be Received</t>
  </si>
  <si>
    <t>CERTIFICATION</t>
  </si>
  <si>
    <t xml:space="preserve">We hereby certify that the particulars provided above are true and correct, and verified against the original source documents. </t>
  </si>
  <si>
    <t>(signature &amp; Date)</t>
  </si>
  <si>
    <t>${claimVO.claim.foName}</t>
  </si>
  <si>
    <t>(signature)</t>
  </si>
  <si>
    <t xml:space="preserve"> ${claimVO.claim.rsoName}</t>
  </si>
  <si>
    <t>Date :${claimVO.claimRSOApprovalDate}</t>
  </si>
  <si>
    <t># Enclosed Bank Statement</t>
  </si>
  <si>
    <t>Please credit the fund to:</t>
  </si>
  <si>
    <t>Bank Name:</t>
  </si>
  <si>
    <t xml:space="preserve">${claimVO.claim.payeeBank} </t>
  </si>
  <si>
    <t>Bank A/C Holder Name:</t>
  </si>
  <si>
    <t>${claimVO.claim.payeeAccountName}</t>
  </si>
  <si>
    <t>Bank A/C No.:</t>
  </si>
  <si>
    <t>${claimVO.claim.payeeAccountNumber}</t>
  </si>
  <si>
    <t>Name of Implementing Agency:  Nanyang Technological University</t>
  </si>
  <si>
    <t>NATIONAL RESEARCH FUND FINAL STATEMENT OF ACCOUNT (FI)</t>
  </si>
  <si>
    <t>Cost Centre</t>
  </si>
  <si>
    <t>Description</t>
  </si>
  <si>
    <t>Start Date</t>
  </si>
  <si>
    <t>End Date</t>
  </si>
  <si>
    <t>Committed Budget</t>
  </si>
  <si>
    <t>Current Year Budget</t>
  </si>
  <si>
    <t>Total Actual Expenditure 
incurred</t>
  </si>
  <si>
    <t>${claimVO.claimStartAndEndYear}</t>
  </si>
  <si>
    <t xml:space="preserve">(e) = (a) - (d) </t>
  </si>
  <si>
    <t>${summary.amountRequested}</t>
  </si>
  <si>
    <t>${aggregator.sum(claimFilter.conditionedCSFilter(claimVO.claimSummary, "budgetCategoryCode", "OOE,MAC"), "amountRequested")}</t>
  </si>
  <si>
    <t>Research Scholarship (RS)*</t>
  </si>
  <si>
    <t># Less Bank interest earned for ${claimVO.claimStartAndEndYear} (if applicable)</t>
  </si>
  <si>
    <t># Enclose Bank Statement</t>
  </si>
  <si>
    <t>The request has also been made in accordance to the NR Fund Guide.</t>
  </si>
  <si>
    <t>${claimVO.claim.rsoName}</t>
  </si>
  <si>
    <t>Name of Programme Office:</t>
  </si>
  <si>
    <r>
      <rPr>
        <rFont val="Arial"/>
        <b/>
        <color theme="1"/>
        <sz val="12.0"/>
      </rPr>
      <t xml:space="preserve">NATIONAL RESEARCH FUND DRAWDOWN FOR FUNDING INITIATIVES (FI) </t>
    </r>
    <r>
      <rPr>
        <rFont val="Arial"/>
        <b/>
        <color rgb="FFFF0000"/>
        <sz val="12.0"/>
      </rPr>
      <t>- Advanced Disbursement</t>
    </r>
  </si>
  <si>
    <r>
      <rPr>
        <rFont val="Arial"/>
        <b/>
        <color theme="1"/>
        <sz val="12.0"/>
      </rPr>
      <t>FOR THE MONTHS OF</t>
    </r>
    <r>
      <rPr>
        <rFont val="Arial"/>
        <b/>
        <color theme="1"/>
        <sz val="12.0"/>
        <u/>
      </rPr>
      <t xml:space="preserve"> </t>
    </r>
  </si>
  <si>
    <t>FI Cost Centre</t>
  </si>
  <si>
    <t>FI Description</t>
  </si>
  <si>
    <t>Funding Initiative Committed Budget</t>
  </si>
  <si>
    <t>Funding Initiative Current Year Budget</t>
  </si>
  <si>
    <t xml:space="preserve">Actual Fund Balance 
as at </t>
  </si>
  <si>
    <t>Projected Expenditure 
for</t>
  </si>
  <si>
    <t>Funds to be Credited/Disbursed</t>
  </si>
  <si>
    <t>${claimVO.claim.endDate}</t>
  </si>
  <si>
    <t>NEXT PERIOD</t>
  </si>
  <si>
    <t>(c) = (a) - (b)</t>
  </si>
  <si>
    <t>(d)</t>
  </si>
  <si>
    <t>(e) = (d) - (c)</t>
  </si>
  <si>
    <t>${summary.cumClaimUptoPeriod}</t>
  </si>
  <si>
    <t>${summary.totalExpenseIncuredUptoPeriod}</t>
  </si>
  <si>
    <t>${summary.amountForcasted}</t>
  </si>
  <si>
    <t>${aggregator.sum(claimFilter.conditionedCSFilter(claimVO.claimSummary, "budgetCategoryCode", "OOE,MAC"), "cumClaimUptoPeriod")}</t>
  </si>
  <si>
    <t>${aggregator.sum(claimFilter.conditionedCSFilter(claimVO.claimSummary, "budgetCategoryCode", "OOE,MAC"), "totalExpenseIncuredUptoPeriod")}</t>
  </si>
  <si>
    <t>${aggregator.sum(claimFilter.conditionedCSFilter(claimVO.claimSummary, "budgetCategoryCode", "OOE,MAC"), "amountForcasted")}</t>
  </si>
  <si>
    <t>Less Bank interest earned for ${claimVO.claimStartAndEndYear}</t>
  </si>
  <si>
    <t xml:space="preserve"> Date : ${claimVO.claimRSOApprovalDate}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</si>
</sst>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[$-14809]d\ mmm\ yyyy"/>
    <numFmt numFmtId="166" formatCode="dd/mmm/yyyy"/>
    <numFmt numFmtId="167" formatCode="[$-409]d/mmm/yyyy"/>
  </numFmts>
  <fonts count="10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top" wrapText="1"/>
    </xf>
    <xf borderId="2" fillId="0" fontId="5" numFmtId="0" xfId="0" applyAlignment="1" applyBorder="1" applyFont="1">
      <alignment horizontal="center" shrinkToFit="0" wrapText="1"/>
    </xf>
    <xf borderId="2" fillId="0" fontId="5" numFmtId="164" xfId="0" applyAlignment="1" applyBorder="1" applyFont="1" applyNumberFormat="1">
      <alignment horizontal="center" shrinkToFit="0" wrapText="1"/>
    </xf>
    <xf quotePrefix="1" borderId="2" fillId="0" fontId="5" numFmtId="165" xfId="0" applyAlignment="1" applyBorder="1" applyFont="1" applyNumberFormat="1">
      <alignment horizontal="center" shrinkToFit="0" wrapText="1"/>
    </xf>
    <xf borderId="2" fillId="0" fontId="5" numFmtId="165" xfId="0" applyAlignment="1" applyBorder="1" applyFont="1" applyNumberFormat="1">
      <alignment horizontal="center" shrinkToFit="0" wrapText="1"/>
    </xf>
    <xf borderId="2" fillId="0" fontId="5" numFmtId="17" xfId="0" applyAlignment="1" applyBorder="1" applyFont="1" applyNumberFormat="1">
      <alignment horizontal="center" shrinkToFit="0" wrapText="1"/>
    </xf>
    <xf borderId="0" fillId="0" fontId="5" numFmtId="17" xfId="0" applyAlignment="1" applyFont="1" applyNumberFormat="1">
      <alignment horizontal="center" shrinkToFit="0" wrapText="1"/>
    </xf>
    <xf borderId="0" fillId="0" fontId="5" numFmtId="0" xfId="0" applyFont="1"/>
    <xf borderId="0" fillId="0" fontId="5" numFmtId="164" xfId="0" applyAlignment="1" applyFont="1" applyNumberFormat="1">
      <alignment horizontal="right" shrinkToFit="0" vertical="top" wrapText="1"/>
    </xf>
    <xf borderId="0" fillId="0" fontId="5" numFmtId="164" xfId="0" applyAlignment="1" applyFont="1" applyNumberFormat="1">
      <alignment horizontal="center" shrinkToFit="0" vertical="top" wrapText="1"/>
    </xf>
    <xf quotePrefix="1" borderId="0" fillId="0" fontId="5" numFmtId="164" xfId="0" applyAlignment="1" applyFont="1" applyNumberFormat="1">
      <alignment horizontal="center" shrinkToFit="0" vertical="top" wrapText="1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left" vertical="center"/>
    </xf>
    <xf borderId="0" fillId="0" fontId="5" numFmtId="4" xfId="0" applyAlignment="1" applyFont="1" applyNumberFormat="1">
      <alignment horizontal="right" vertical="center"/>
    </xf>
    <xf borderId="0" fillId="0" fontId="5" numFmtId="0" xfId="0" applyAlignment="1" applyFont="1">
      <alignment horizontal="left" vertical="top"/>
    </xf>
    <xf borderId="0" fillId="0" fontId="5" numFmtId="39" xfId="0" applyFont="1" applyNumberFormat="1"/>
    <xf borderId="1" fillId="0" fontId="5" numFmtId="4" xfId="0" applyAlignment="1" applyBorder="1" applyFont="1" applyNumberFormat="1">
      <alignment horizontal="right" vertical="center"/>
    </xf>
    <xf borderId="0" fillId="0" fontId="5" numFmtId="39" xfId="0" applyAlignment="1" applyFont="1" applyNumberFormat="1">
      <alignment horizontal="right"/>
    </xf>
    <xf borderId="3" fillId="0" fontId="5" numFmtId="4" xfId="0" applyAlignment="1" applyBorder="1" applyFont="1" applyNumberFormat="1">
      <alignment horizontal="right" vertical="center"/>
    </xf>
    <xf borderId="0" fillId="0" fontId="6" numFmtId="0" xfId="0" applyFont="1"/>
    <xf borderId="0" fillId="0" fontId="6" numFmtId="0" xfId="0" applyAlignment="1" applyFont="1">
      <alignment horizontal="right"/>
    </xf>
    <xf borderId="0" fillId="0" fontId="7" numFmtId="0" xfId="0" applyFont="1"/>
    <xf borderId="2" fillId="0" fontId="6" numFmtId="0" xfId="0" applyBorder="1" applyFont="1"/>
    <xf borderId="0" fillId="0" fontId="6" numFmtId="167" xfId="0" applyAlignment="1" applyFont="1" applyNumberFormat="1">
      <alignment horizontal="left"/>
    </xf>
    <xf borderId="0" fillId="0" fontId="8" numFmtId="0" xfId="0" applyFont="1"/>
    <xf borderId="0" fillId="0" fontId="8" numFmtId="0" xfId="0" applyAlignment="1" applyFont="1">
      <alignment horizontal="right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4" xfId="0" applyAlignment="1" applyFont="1" applyNumberFormat="1">
      <alignment horizontal="right" shrinkToFit="0" vertical="center" wrapText="1"/>
    </xf>
    <xf quotePrefix="1" borderId="0" fillId="0" fontId="5" numFmtId="0" xfId="0" applyAlignment="1" applyFont="1">
      <alignment horizontal="left" vertical="center"/>
    </xf>
    <xf borderId="0" fillId="0" fontId="5" numFmtId="4" xfId="0" applyFont="1" applyNumberFormat="1"/>
    <xf borderId="0" fillId="0" fontId="5" numFmtId="39" xfId="0" applyAlignment="1" applyFont="1" applyNumberFormat="1">
      <alignment horizontal="right" shrinkToFit="0" vertical="top" wrapText="1"/>
    </xf>
    <xf borderId="3" fillId="0" fontId="5" numFmtId="4" xfId="0" applyAlignment="1" applyBorder="1" applyFont="1" applyNumberFormat="1">
      <alignment horizontal="right"/>
    </xf>
    <xf borderId="0" fillId="0" fontId="5" numFmtId="0" xfId="0" applyAlignment="1" applyFont="1">
      <alignment horizontal="right"/>
    </xf>
    <xf borderId="0" fillId="0" fontId="9" numFmtId="0" xfId="0" applyFont="1"/>
    <xf borderId="2" fillId="0" fontId="5" numFmtId="165" xfId="0" applyAlignment="1" applyBorder="1" applyFont="1" applyNumberFormat="1">
      <alignment horizontal="center"/>
    </xf>
    <xf quotePrefix="1" borderId="2" fillId="0" fontId="4" numFmtId="17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3.86"/>
    <col customWidth="1" min="3" max="3" width="22.14"/>
    <col customWidth="1" min="4" max="4" width="18.43"/>
    <col customWidth="1" min="5" max="7" width="25.71"/>
    <col customWidth="1" min="8" max="9" width="23.86"/>
    <col customWidth="1" min="10" max="11" width="25.71"/>
    <col customWidth="1" min="12" max="12" width="21.86"/>
    <col customWidth="1" min="13" max="26" width="8.71"/>
  </cols>
  <sheetData>
    <row r="1">
      <c r="A1" s="1" t="s">
        <v>0</v>
      </c>
      <c r="B1" s="1"/>
      <c r="C1" s="1"/>
      <c r="D1" s="1"/>
    </row>
    <row r="2">
      <c r="A2" s="1"/>
      <c r="B2" s="1"/>
      <c r="C2" s="1"/>
      <c r="D2" s="1"/>
    </row>
    <row r="3">
      <c r="A3" s="2"/>
      <c r="B3" s="2"/>
      <c r="C3" s="2"/>
      <c r="D3" s="2"/>
    </row>
    <row r="4">
      <c r="A4" s="1" t="s">
        <v>1</v>
      </c>
      <c r="B4" s="1"/>
      <c r="C4" s="1"/>
      <c r="D4" s="1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>
      <c r="A6" s="4" t="s">
        <v>2</v>
      </c>
      <c r="B6" s="4" t="s">
        <v>3</v>
      </c>
      <c r="C6" s="4" t="s">
        <v>4</v>
      </c>
      <c r="D6" s="4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6"/>
    </row>
    <row r="7">
      <c r="A7" s="7"/>
      <c r="B7" s="7"/>
      <c r="C7" s="7"/>
      <c r="D7" s="7"/>
      <c r="E7" s="7"/>
      <c r="F7" s="8"/>
      <c r="G7" s="9" t="s">
        <v>13</v>
      </c>
      <c r="H7" s="10" t="s">
        <v>13</v>
      </c>
      <c r="I7" s="10" t="s">
        <v>13</v>
      </c>
      <c r="J7" s="11"/>
      <c r="K7" s="11"/>
      <c r="L7" s="12"/>
    </row>
    <row r="8">
      <c r="A8" s="13"/>
      <c r="B8" s="13"/>
      <c r="C8" s="13"/>
      <c r="D8" s="13"/>
      <c r="E8" s="13"/>
      <c r="F8" s="14"/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  <row r="9" ht="24.75" customHeight="1">
      <c r="A9" s="13"/>
      <c r="B9" s="17" t="s">
        <v>19</v>
      </c>
      <c r="C9" s="18" t="s">
        <v>20</v>
      </c>
      <c r="D9" s="18" t="s">
        <v>21</v>
      </c>
      <c r="E9" s="19" t="s">
        <v>22</v>
      </c>
      <c r="F9" s="19" t="s">
        <v>23</v>
      </c>
      <c r="G9" s="19" t="s">
        <v>24</v>
      </c>
      <c r="H9" s="19" t="s">
        <v>24</v>
      </c>
      <c r="I9" s="19" t="s">
        <v>25</v>
      </c>
      <c r="J9" s="19" t="str">
        <f t="shared" ref="J9:J13" si="1">H9+I9</f>
        <v>#VALUE!</v>
      </c>
      <c r="K9" s="19" t="str">
        <f t="shared" ref="K9:K14" si="2">G9-H9</f>
        <v>#VALUE!</v>
      </c>
    </row>
    <row r="10" ht="24.75" customHeight="1">
      <c r="A10" s="13"/>
      <c r="B10" s="17" t="s">
        <v>26</v>
      </c>
      <c r="C10" s="18" t="s">
        <v>20</v>
      </c>
      <c r="D10" s="18" t="s">
        <v>21</v>
      </c>
      <c r="E10" s="19" t="s">
        <v>22</v>
      </c>
      <c r="F10" s="19" t="s">
        <v>23</v>
      </c>
      <c r="G10" s="19" t="s">
        <v>24</v>
      </c>
      <c r="H10" s="19" t="s">
        <v>24</v>
      </c>
      <c r="I10" s="19" t="s">
        <v>25</v>
      </c>
      <c r="J10" s="19" t="str">
        <f t="shared" si="1"/>
        <v>#VALUE!</v>
      </c>
      <c r="K10" s="19" t="str">
        <f t="shared" si="2"/>
        <v>#VALUE!</v>
      </c>
    </row>
    <row r="11" ht="24.75" customHeight="1">
      <c r="A11" s="13"/>
      <c r="B11" s="17" t="s">
        <v>27</v>
      </c>
      <c r="C11" s="18" t="s">
        <v>20</v>
      </c>
      <c r="D11" s="18" t="s">
        <v>21</v>
      </c>
      <c r="E11" s="19" t="s">
        <v>28</v>
      </c>
      <c r="F11" s="19" t="s">
        <v>29</v>
      </c>
      <c r="G11" s="19" t="s">
        <v>30</v>
      </c>
      <c r="H11" s="19" t="s">
        <v>30</v>
      </c>
      <c r="I11" s="19" t="s">
        <v>31</v>
      </c>
      <c r="J11" s="19" t="str">
        <f t="shared" si="1"/>
        <v>#VALUE!</v>
      </c>
      <c r="K11" s="19" t="str">
        <f t="shared" si="2"/>
        <v>#VALUE!</v>
      </c>
    </row>
    <row r="12" ht="24.75" customHeight="1">
      <c r="A12" s="13"/>
      <c r="B12" s="17" t="s">
        <v>32</v>
      </c>
      <c r="C12" s="18" t="s">
        <v>20</v>
      </c>
      <c r="D12" s="18" t="s">
        <v>21</v>
      </c>
      <c r="E12" s="19" t="s">
        <v>22</v>
      </c>
      <c r="F12" s="19" t="s">
        <v>23</v>
      </c>
      <c r="G12" s="19" t="s">
        <v>24</v>
      </c>
      <c r="H12" s="19" t="s">
        <v>24</v>
      </c>
      <c r="I12" s="19" t="s">
        <v>25</v>
      </c>
      <c r="J12" s="19" t="str">
        <f t="shared" si="1"/>
        <v>#VALUE!</v>
      </c>
      <c r="K12" s="19" t="str">
        <f t="shared" si="2"/>
        <v>#VALUE!</v>
      </c>
    </row>
    <row r="13" ht="24.75" customHeight="1">
      <c r="A13" s="20"/>
      <c r="B13" s="17" t="s">
        <v>33</v>
      </c>
      <c r="C13" s="18" t="s">
        <v>20</v>
      </c>
      <c r="D13" s="18" t="s">
        <v>21</v>
      </c>
      <c r="E13" s="19" t="s">
        <v>22</v>
      </c>
      <c r="F13" s="19" t="s">
        <v>23</v>
      </c>
      <c r="G13" s="19" t="s">
        <v>24</v>
      </c>
      <c r="H13" s="19" t="s">
        <v>24</v>
      </c>
      <c r="I13" s="19" t="s">
        <v>25</v>
      </c>
      <c r="J13" s="19" t="str">
        <f t="shared" si="1"/>
        <v>#VALUE!</v>
      </c>
      <c r="K13" s="19" t="str">
        <f t="shared" si="2"/>
        <v>#VALUE!</v>
      </c>
    </row>
    <row r="14" ht="24.75" customHeight="1">
      <c r="A14" s="17"/>
      <c r="B14" s="17" t="s">
        <v>34</v>
      </c>
      <c r="C14" s="17"/>
      <c r="D14" s="17"/>
      <c r="E14" s="19">
        <f t="array" ref="E14">ROUND(SUM(E9:E13)*SUMPRODUCT(MID(0&amp;B14, LARGE(INDEX(ISNUMBER(--MID(B14, ROW(INDIRECT("1:"&amp;LEN(B14))), 1)) * ROW(INDIRECT("1:"&amp;LEN(B14))), 0), ROW(INDIRECT("1:"&amp;LEN(B14))))+1, 1) * 10^ROW(INDIRECT("1:"&amp;LEN(B14)))/10)%, 2)</f>
        <v>0</v>
      </c>
      <c r="F14" s="19">
        <f t="array" ref="F14">ROUND(SUM(F9:F13)*SUMPRODUCT(MID(0&amp;B14, LARGE(INDEX(ISNUMBER(--MID(B14, ROW(INDIRECT("1:"&amp;LEN(B14))), 1)) * ROW(INDIRECT("1:"&amp;LEN(B14))), 0), ROW(INDIRECT("1:"&amp;LEN(B14))))+1, 1) * 10^ROW(INDIRECT("1:"&amp;LEN(B14)))/10)%, 2)</f>
        <v>0</v>
      </c>
      <c r="G14" s="19">
        <f t="array" ref="G14">ROUND(SUM(G9:G13)*SUMPRODUCT(MID(0&amp;B14, LARGE(INDEX(ISNUMBER(--MID(B14, ROW(INDIRECT("1:"&amp;LEN(B14))), 1)) * ROW(INDIRECT("1:"&amp;LEN(B14))), 0), ROW(INDIRECT("1:"&amp;LEN(B14))))+1, 1) * 10^ROW(INDIRECT("1:"&amp;LEN(B14)))/10)%, 2)</f>
        <v>0</v>
      </c>
      <c r="H14" s="19">
        <f t="array" ref="H14">ROUND(SUM(H9:H13)*SUMPRODUCT(MID(0&amp;B14, LARGE(INDEX(ISNUMBER(--MID(B14, ROW(INDIRECT("1:"&amp;LEN(B14))), 1)) * ROW(INDIRECT("1:"&amp;LEN(B14))), 0), ROW(INDIRECT("1:"&amp;LEN(B14))))+1, 1) * 10^ROW(INDIRECT("1:"&amp;LEN(B14)))/10)%, 2)</f>
        <v>0</v>
      </c>
      <c r="I14" s="19">
        <f t="array" ref="I14">ROUND(SUM(I9:I13)*SUMPRODUCT(MID(0&amp;B14, LARGE(INDEX(ISNUMBER(--MID(B14, ROW(INDIRECT("1:"&amp;LEN(B14))), 1)) * ROW(INDIRECT("1:"&amp;LEN(B14))), 0), ROW(INDIRECT("1:"&amp;LEN(B14))))+1, 1) * 10^ROW(INDIRECT("1:"&amp;LEN(B14)))/10)%, 2)</f>
        <v>0</v>
      </c>
      <c r="J14" s="19" t="str">
        <f t="array" ref="J14">ROUND(SUM(J9:J13)*SUMPRODUCT(MID(0&amp;B14, LARGE(INDEX(ISNUMBER(--MID(B14, ROW(INDIRECT("1:"&amp;LEN(B14))), 1)) * ROW(INDIRECT("1:"&amp;LEN(B14))), 0), ROW(INDIRECT("1:"&amp;LEN(B14))))+1, 1) * 10^ROW(INDIRECT("1:"&amp;LEN(B14)))/10)%, 2)</f>
        <v>#VALUE!</v>
      </c>
      <c r="K14" s="19">
        <f t="shared" si="2"/>
        <v>0</v>
      </c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21"/>
      <c r="K15" s="22" t="str">
        <f>SUM(K9:K14)</f>
        <v>#VALUE!</v>
      </c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23" t="s">
        <v>35</v>
      </c>
      <c r="K16" s="2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23" t="s">
        <v>36</v>
      </c>
      <c r="K17" s="24" t="str">
        <f>K15-K16</f>
        <v>#VALUE!</v>
      </c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6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>
      <c r="A20" s="27" t="s">
        <v>37</v>
      </c>
      <c r="B20" s="27"/>
      <c r="C20" s="27"/>
      <c r="D20" s="27"/>
      <c r="E20" s="27"/>
      <c r="F20" s="25"/>
      <c r="G20" s="25"/>
      <c r="H20" s="25"/>
      <c r="I20" s="25"/>
      <c r="J20" s="25"/>
      <c r="K20" s="25"/>
    </row>
    <row r="21" ht="15.75" customHeight="1">
      <c r="A21" s="25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ht="15.75" customHeight="1">
      <c r="A26" s="28"/>
      <c r="B26" s="28"/>
      <c r="C26" s="28"/>
      <c r="D26" s="28"/>
      <c r="E26" s="28"/>
      <c r="F26" s="25"/>
      <c r="G26" s="25"/>
      <c r="H26" s="25"/>
      <c r="I26" s="25"/>
      <c r="J26" s="25"/>
      <c r="K26" s="25"/>
    </row>
    <row r="27" ht="15.75" customHeight="1">
      <c r="A27" s="25" t="s">
        <v>39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ht="15.75" customHeight="1">
      <c r="A28" s="25" t="s">
        <v>40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ht="15.75" customHeight="1">
      <c r="A30" s="29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ht="15.75" customHeight="1">
      <c r="A31" s="28"/>
      <c r="B31" s="28"/>
      <c r="C31" s="28"/>
      <c r="D31" s="28"/>
      <c r="E31" s="28"/>
      <c r="F31" s="25"/>
      <c r="G31" s="25"/>
      <c r="H31" s="25"/>
      <c r="I31" s="25"/>
      <c r="J31" s="25"/>
      <c r="K31" s="25"/>
    </row>
    <row r="32" ht="15.75" customHeight="1">
      <c r="A32" s="25" t="s">
        <v>41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ht="15.75" customHeight="1">
      <c r="A33" s="25" t="s">
        <v>42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ht="15.75" customHeight="1">
      <c r="A35" s="29" t="s">
        <v>43</v>
      </c>
      <c r="B35" s="29"/>
      <c r="C35" s="29"/>
      <c r="D35" s="29"/>
      <c r="E35" s="29"/>
      <c r="F35" s="25"/>
      <c r="G35" s="25"/>
      <c r="H35" s="25"/>
      <c r="I35" s="25"/>
      <c r="J35" s="25"/>
      <c r="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ht="15.75" customHeight="1">
      <c r="A37" s="25" t="s">
        <v>44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ht="15.75" customHeight="1">
      <c r="A39" s="30" t="s">
        <v>45</v>
      </c>
      <c r="B39" s="30"/>
      <c r="C39" s="30"/>
      <c r="D39" s="30"/>
      <c r="E39" s="30"/>
      <c r="F39" s="25"/>
      <c r="G39" s="25"/>
      <c r="H39" s="25"/>
      <c r="I39" s="25"/>
      <c r="J39" s="25"/>
      <c r="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15.75" customHeight="1">
      <c r="A41" s="31" t="s">
        <v>46</v>
      </c>
      <c r="F41" s="32" t="s">
        <v>47</v>
      </c>
      <c r="G41" s="32"/>
      <c r="H41" s="32"/>
      <c r="I41" s="32"/>
      <c r="J41" s="25"/>
      <c r="K41" s="25"/>
    </row>
    <row r="42" ht="15.75" customHeight="1">
      <c r="A42" s="31" t="s">
        <v>48</v>
      </c>
      <c r="F42" s="32" t="s">
        <v>49</v>
      </c>
      <c r="G42" s="32"/>
      <c r="H42" s="32"/>
      <c r="I42" s="32"/>
      <c r="J42" s="25"/>
      <c r="K42" s="25"/>
    </row>
    <row r="43" ht="15.75" customHeight="1">
      <c r="A43" s="31" t="s">
        <v>50</v>
      </c>
      <c r="F43" s="32" t="s">
        <v>51</v>
      </c>
      <c r="G43" s="32"/>
      <c r="H43" s="32"/>
      <c r="I43" s="32"/>
      <c r="J43" s="25"/>
      <c r="K43" s="2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1:E41"/>
    <mergeCell ref="A42:E42"/>
    <mergeCell ref="A43:E43"/>
  </mergeCells>
  <conditionalFormatting sqref="C9:K14">
    <cfRule type="containsBlanks" dxfId="0" priority="1">
      <formula>LEN(TRIM(C9))=0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5.71"/>
    <col customWidth="1" min="3" max="4" width="15.71"/>
    <col customWidth="1" min="5" max="11" width="25.71"/>
    <col customWidth="1" min="12" max="26" width="8.71"/>
  </cols>
  <sheetData>
    <row r="1">
      <c r="A1" s="1" t="s">
        <v>52</v>
      </c>
    </row>
    <row r="2">
      <c r="A2" s="1"/>
    </row>
    <row r="3">
      <c r="A3" s="1" t="s">
        <v>53</v>
      </c>
      <c r="B3" s="1"/>
      <c r="C3" s="1"/>
      <c r="D3" s="1"/>
    </row>
    <row r="4">
      <c r="A4" s="1"/>
      <c r="B4" s="1"/>
      <c r="C4" s="1"/>
      <c r="D4" s="1"/>
    </row>
    <row r="5">
      <c r="A5" s="2"/>
      <c r="B5" s="2"/>
      <c r="C5" s="2"/>
      <c r="D5" s="2"/>
    </row>
    <row r="6">
      <c r="A6" s="1" t="s">
        <v>1</v>
      </c>
      <c r="B6" s="1"/>
      <c r="C6" s="1"/>
      <c r="D6" s="1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51.0" customHeight="1">
      <c r="A8" s="4" t="s">
        <v>54</v>
      </c>
      <c r="B8" s="4" t="s">
        <v>55</v>
      </c>
      <c r="C8" s="4" t="s">
        <v>56</v>
      </c>
      <c r="D8" s="4" t="s">
        <v>57</v>
      </c>
      <c r="E8" s="5" t="s">
        <v>58</v>
      </c>
      <c r="F8" s="5" t="s">
        <v>59</v>
      </c>
      <c r="G8" s="5" t="s">
        <v>8</v>
      </c>
      <c r="H8" s="5" t="s">
        <v>9</v>
      </c>
      <c r="I8" s="5" t="s">
        <v>10</v>
      </c>
      <c r="J8" s="5" t="s">
        <v>60</v>
      </c>
      <c r="K8" s="5" t="s">
        <v>12</v>
      </c>
    </row>
    <row r="9">
      <c r="A9" s="7"/>
      <c r="B9" s="7"/>
      <c r="C9" s="7"/>
      <c r="D9" s="7"/>
      <c r="E9" s="7"/>
      <c r="F9" s="8"/>
      <c r="G9" s="10" t="s">
        <v>13</v>
      </c>
      <c r="H9" s="10" t="s">
        <v>13</v>
      </c>
      <c r="I9" s="9" t="s">
        <v>61</v>
      </c>
      <c r="J9" s="11"/>
      <c r="K9" s="11"/>
    </row>
    <row r="10">
      <c r="A10" s="13"/>
      <c r="B10" s="13"/>
      <c r="C10" s="13"/>
      <c r="D10" s="13"/>
      <c r="E10" s="13"/>
      <c r="F10" s="14"/>
      <c r="G10" s="15" t="s">
        <v>14</v>
      </c>
      <c r="H10" s="15" t="s">
        <v>15</v>
      </c>
      <c r="I10" s="15" t="s">
        <v>16</v>
      </c>
      <c r="J10" s="15" t="s">
        <v>17</v>
      </c>
      <c r="K10" s="16" t="s">
        <v>62</v>
      </c>
    </row>
    <row r="11" ht="24.75" customHeight="1">
      <c r="A11" s="13"/>
      <c r="B11" s="33" t="s">
        <v>19</v>
      </c>
      <c r="C11" s="18" t="s">
        <v>20</v>
      </c>
      <c r="D11" s="18" t="s">
        <v>21</v>
      </c>
      <c r="E11" s="19" t="s">
        <v>22</v>
      </c>
      <c r="F11" s="34" t="s">
        <v>23</v>
      </c>
      <c r="G11" s="34" t="s">
        <v>24</v>
      </c>
      <c r="H11" s="34" t="s">
        <v>24</v>
      </c>
      <c r="I11" s="34" t="s">
        <v>63</v>
      </c>
      <c r="J11" s="34" t="str">
        <f t="shared" ref="J11:J15" si="1">H11+I11</f>
        <v>#VALUE!</v>
      </c>
      <c r="K11" s="34" t="str">
        <f t="shared" ref="K11:K16" si="2">G11-J11</f>
        <v>#VALUE!</v>
      </c>
    </row>
    <row r="12" ht="24.75" customHeight="1">
      <c r="A12" s="13"/>
      <c r="B12" s="33" t="s">
        <v>26</v>
      </c>
      <c r="C12" s="18" t="s">
        <v>20</v>
      </c>
      <c r="D12" s="18" t="s">
        <v>21</v>
      </c>
      <c r="E12" s="19" t="s">
        <v>22</v>
      </c>
      <c r="F12" s="34" t="s">
        <v>23</v>
      </c>
      <c r="G12" s="34" t="s">
        <v>24</v>
      </c>
      <c r="H12" s="34" t="s">
        <v>24</v>
      </c>
      <c r="I12" s="34" t="s">
        <v>63</v>
      </c>
      <c r="J12" s="34" t="str">
        <f t="shared" si="1"/>
        <v>#VALUE!</v>
      </c>
      <c r="K12" s="34" t="str">
        <f t="shared" si="2"/>
        <v>#VALUE!</v>
      </c>
    </row>
    <row r="13" ht="24.75" customHeight="1">
      <c r="A13" s="13"/>
      <c r="B13" s="33" t="s">
        <v>27</v>
      </c>
      <c r="C13" s="18" t="s">
        <v>20</v>
      </c>
      <c r="D13" s="18" t="s">
        <v>21</v>
      </c>
      <c r="E13" s="19" t="s">
        <v>28</v>
      </c>
      <c r="F13" s="34" t="s">
        <v>29</v>
      </c>
      <c r="G13" s="34" t="s">
        <v>30</v>
      </c>
      <c r="H13" s="34" t="s">
        <v>30</v>
      </c>
      <c r="I13" s="34" t="s">
        <v>64</v>
      </c>
      <c r="J13" s="34" t="str">
        <f t="shared" si="1"/>
        <v>#VALUE!</v>
      </c>
      <c r="K13" s="34" t="str">
        <f t="shared" si="2"/>
        <v>#VALUE!</v>
      </c>
    </row>
    <row r="14" ht="24.75" customHeight="1">
      <c r="A14" s="13"/>
      <c r="B14" s="33" t="s">
        <v>32</v>
      </c>
      <c r="C14" s="18" t="s">
        <v>20</v>
      </c>
      <c r="D14" s="18" t="s">
        <v>21</v>
      </c>
      <c r="E14" s="19" t="s">
        <v>22</v>
      </c>
      <c r="F14" s="34" t="s">
        <v>23</v>
      </c>
      <c r="G14" s="34" t="s">
        <v>24</v>
      </c>
      <c r="H14" s="34" t="s">
        <v>24</v>
      </c>
      <c r="I14" s="34" t="s">
        <v>63</v>
      </c>
      <c r="J14" s="34" t="str">
        <f t="shared" si="1"/>
        <v>#VALUE!</v>
      </c>
      <c r="K14" s="34" t="str">
        <f t="shared" si="2"/>
        <v>#VALUE!</v>
      </c>
    </row>
    <row r="15" ht="24.75" customHeight="1">
      <c r="A15" s="13"/>
      <c r="B15" s="33" t="s">
        <v>65</v>
      </c>
      <c r="C15" s="18" t="s">
        <v>20</v>
      </c>
      <c r="D15" s="18" t="s">
        <v>21</v>
      </c>
      <c r="E15" s="19" t="s">
        <v>22</v>
      </c>
      <c r="F15" s="34" t="s">
        <v>23</v>
      </c>
      <c r="G15" s="34" t="s">
        <v>24</v>
      </c>
      <c r="H15" s="34" t="s">
        <v>24</v>
      </c>
      <c r="I15" s="34" t="s">
        <v>63</v>
      </c>
      <c r="J15" s="34" t="str">
        <f t="shared" si="1"/>
        <v>#VALUE!</v>
      </c>
      <c r="K15" s="34" t="str">
        <f t="shared" si="2"/>
        <v>#VALUE!</v>
      </c>
    </row>
    <row r="16">
      <c r="A16" s="13"/>
      <c r="B16" s="35" t="s">
        <v>34</v>
      </c>
      <c r="C16" s="13"/>
      <c r="D16" s="13"/>
      <c r="E16" s="36">
        <f t="array" ref="E16">ROUND(SUM(E11:E15)*SUMPRODUCT(MID(0&amp;B16, LARGE(INDEX(ISNUMBER(--MID(B16, ROW(INDIRECT("1:"&amp;LEN(B16))), 1)) * ROW(INDIRECT("1:"&amp;LEN(B16))), 0), ROW(INDIRECT("1:"&amp;LEN(B16))))+1, 1) * 10^ROW(INDIRECT("1:"&amp;LEN(B16)))/10)%, 2)</f>
        <v>0</v>
      </c>
      <c r="F16" s="36">
        <f t="array" ref="F16">ROUND(SUM(F11:F15)*SUMPRODUCT(MID(0&amp;B16, LARGE(INDEX(ISNUMBER(--MID(B16, ROW(INDIRECT("1:"&amp;LEN(B16))), 1)) * ROW(INDIRECT("1:"&amp;LEN(B16))), 0), ROW(INDIRECT("1:"&amp;LEN(B16))))+1, 1) * 10^ROW(INDIRECT("1:"&amp;LEN(B16)))/10)%, 2)</f>
        <v>0</v>
      </c>
      <c r="G16" s="36">
        <f t="array" ref="G16">ROUND(SUM(G11:G15)*SUMPRODUCT(MID(0&amp;B16, LARGE(INDEX(ISNUMBER(--MID(B16, ROW(INDIRECT("1:"&amp;LEN(B16))), 1)) * ROW(INDIRECT("1:"&amp;LEN(B16))), 0), ROW(INDIRECT("1:"&amp;LEN(B16))))+1, 1) * 10^ROW(INDIRECT("1:"&amp;LEN(B16)))/10)%, 2)</f>
        <v>0</v>
      </c>
      <c r="H16" s="36">
        <f t="array" ref="H16">ROUND(SUM(H11:H15)*SUMPRODUCT(MID(0&amp;B16, LARGE(INDEX(ISNUMBER(--MID(B16, ROW(INDIRECT("1:"&amp;LEN(B16))), 1)) * ROW(INDIRECT("1:"&amp;LEN(B16))), 0), ROW(INDIRECT("1:"&amp;LEN(B16))))+1, 1) * 10^ROW(INDIRECT("1:"&amp;LEN(B16)))/10)%, 2)</f>
        <v>0</v>
      </c>
      <c r="I16" s="36">
        <f t="array" ref="I16">ROUND(SUM(I11:I15)*SUMPRODUCT(MID(0&amp;B16, LARGE(INDEX(ISNUMBER(--MID(B16, ROW(INDIRECT("1:"&amp;LEN(B16))), 1)) * ROW(INDIRECT("1:"&amp;LEN(B16))), 0), ROW(INDIRECT("1:"&amp;LEN(B16))))+1, 1) * 10^ROW(INDIRECT("1:"&amp;LEN(B16)))/10)%, 2)</f>
        <v>0</v>
      </c>
      <c r="J16" s="19" t="str">
        <f t="array" ref="J16">ROUND(SUM(J11:J15)*SUMPRODUCT(MID(0&amp;B16, LARGE(INDEX(ISNUMBER(--MID(B16, ROW(INDIRECT("1:"&amp;LEN(B16))), 1)) * ROW(INDIRECT("1:"&amp;LEN(B16))), 0), ROW(INDIRECT("1:"&amp;LEN(B16))))+1, 1) * 10^ROW(INDIRECT("1:"&amp;LEN(B16)))/10)%, 2)</f>
        <v>#VALUE!</v>
      </c>
      <c r="K16" s="34" t="str">
        <f t="shared" si="2"/>
        <v>#VALUE!</v>
      </c>
    </row>
    <row r="17">
      <c r="A17" s="17"/>
      <c r="B17" s="17"/>
      <c r="C17" s="17"/>
      <c r="D17" s="17"/>
      <c r="E17" s="17"/>
      <c r="F17" s="14"/>
      <c r="G17" s="14"/>
      <c r="H17" s="14"/>
      <c r="I17" s="14"/>
      <c r="J17" s="37"/>
      <c r="K17" s="37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21"/>
      <c r="K18" s="22" t="str">
        <f>SUM(K11:K17)</f>
        <v>#VALUE!</v>
      </c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23" t="s">
        <v>66</v>
      </c>
      <c r="K19" s="2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23" t="s">
        <v>36</v>
      </c>
      <c r="K20" s="38" t="str">
        <f>K18-K19</f>
        <v>#VALUE!</v>
      </c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6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39" t="s">
        <v>67</v>
      </c>
      <c r="K22" s="25"/>
    </row>
    <row r="23" ht="15.75" customHeight="1">
      <c r="A23" s="27" t="s">
        <v>37</v>
      </c>
      <c r="B23" s="27"/>
      <c r="C23" s="27"/>
      <c r="D23" s="27"/>
      <c r="E23" s="27"/>
      <c r="F23" s="25"/>
      <c r="G23" s="25"/>
      <c r="H23" s="25"/>
      <c r="I23" s="25"/>
      <c r="J23" s="25"/>
      <c r="K23" s="25"/>
    </row>
    <row r="24" ht="15.75" customHeight="1">
      <c r="A24" s="25" t="s">
        <v>38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ht="15.75" customHeight="1">
      <c r="A25" s="25" t="s">
        <v>68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ht="15.75" customHeight="1">
      <c r="A29" s="28"/>
      <c r="B29" s="28"/>
      <c r="C29" s="28"/>
      <c r="D29" s="28"/>
      <c r="E29" s="28"/>
      <c r="F29" s="25"/>
      <c r="G29" s="25"/>
      <c r="H29" s="25"/>
      <c r="I29" s="25"/>
      <c r="J29" s="25"/>
      <c r="K29" s="25"/>
    </row>
    <row r="30" ht="15.75" customHeight="1">
      <c r="A30" s="25" t="s">
        <v>39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ht="15.75" customHeight="1">
      <c r="A31" s="25" t="s">
        <v>40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5.75" customHeight="1">
      <c r="A34" s="28"/>
      <c r="B34" s="28"/>
      <c r="C34" s="28"/>
      <c r="D34" s="28"/>
      <c r="E34" s="28"/>
      <c r="F34" s="25"/>
      <c r="G34" s="25"/>
      <c r="H34" s="25"/>
      <c r="I34" s="25"/>
      <c r="J34" s="25"/>
      <c r="K34" s="25"/>
    </row>
    <row r="35" ht="15.75" customHeight="1">
      <c r="A35" s="25" t="s">
        <v>41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5.75" customHeight="1">
      <c r="A36" s="25" t="s">
        <v>69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ht="15.75" customHeight="1">
      <c r="A38" s="29" t="s">
        <v>43</v>
      </c>
      <c r="B38" s="29"/>
      <c r="C38" s="29"/>
      <c r="D38" s="29"/>
      <c r="E38" s="29"/>
      <c r="F38" s="25"/>
      <c r="G38" s="25"/>
      <c r="H38" s="25"/>
      <c r="I38" s="25"/>
      <c r="J38" s="25"/>
      <c r="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ht="15.75" customHeight="1">
      <c r="A40" s="25" t="s">
        <v>44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ht="15.75" customHeight="1">
      <c r="A42" s="30" t="s">
        <v>45</v>
      </c>
      <c r="B42" s="30"/>
      <c r="C42" s="30"/>
      <c r="D42" s="30"/>
      <c r="E42" s="30"/>
      <c r="F42" s="25"/>
      <c r="G42" s="25"/>
      <c r="H42" s="25"/>
      <c r="I42" s="25"/>
      <c r="J42" s="25"/>
      <c r="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ht="15.75" customHeight="1">
      <c r="A44" s="31" t="s">
        <v>46</v>
      </c>
      <c r="F44" s="32" t="s">
        <v>47</v>
      </c>
      <c r="G44" s="32"/>
      <c r="H44" s="32"/>
      <c r="I44" s="32"/>
      <c r="J44" s="25"/>
      <c r="K44" s="25"/>
    </row>
    <row r="45" ht="15.75" customHeight="1">
      <c r="A45" s="31" t="s">
        <v>48</v>
      </c>
      <c r="F45" s="32" t="s">
        <v>49</v>
      </c>
      <c r="G45" s="32"/>
      <c r="H45" s="32"/>
      <c r="I45" s="32"/>
      <c r="J45" s="25"/>
      <c r="K45" s="25"/>
    </row>
    <row r="46" ht="15.75" customHeight="1">
      <c r="A46" s="31" t="s">
        <v>50</v>
      </c>
      <c r="F46" s="32" t="s">
        <v>51</v>
      </c>
      <c r="G46" s="32"/>
      <c r="H46" s="32"/>
      <c r="I46" s="32"/>
      <c r="J46" s="25"/>
      <c r="K46" s="2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4:E44"/>
    <mergeCell ref="A45:E45"/>
    <mergeCell ref="A46:E46"/>
  </mergeCells>
  <conditionalFormatting sqref="J11:J15">
    <cfRule type="containsBlanks" dxfId="0" priority="1">
      <formula>LEN(TRIM(J11))=0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2.0"/>
    <col customWidth="1" min="3" max="5" width="25.71"/>
    <col customWidth="1" min="6" max="6" width="29.86"/>
    <col customWidth="1" min="7" max="9" width="25.71"/>
    <col customWidth="1" min="10" max="26" width="8.71"/>
  </cols>
  <sheetData>
    <row r="1">
      <c r="A1" s="1" t="s">
        <v>70</v>
      </c>
    </row>
    <row r="2">
      <c r="A2" s="1"/>
    </row>
    <row r="3">
      <c r="A3" s="1" t="s">
        <v>71</v>
      </c>
      <c r="B3" s="1"/>
    </row>
    <row r="4">
      <c r="A4" s="1" t="s">
        <v>72</v>
      </c>
      <c r="B4" s="40" t="s">
        <v>61</v>
      </c>
    </row>
    <row r="5">
      <c r="A5" s="2"/>
      <c r="B5" s="2"/>
    </row>
    <row r="6">
      <c r="A6" s="1" t="s">
        <v>1</v>
      </c>
      <c r="B6" s="1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4" t="s">
        <v>73</v>
      </c>
      <c r="B8" s="4" t="s">
        <v>74</v>
      </c>
      <c r="C8" s="5" t="s">
        <v>75</v>
      </c>
      <c r="D8" s="5" t="s">
        <v>76</v>
      </c>
      <c r="E8" s="5" t="s">
        <v>8</v>
      </c>
      <c r="F8" s="5" t="s">
        <v>9</v>
      </c>
      <c r="G8" s="5" t="s">
        <v>77</v>
      </c>
      <c r="H8" s="5" t="s">
        <v>78</v>
      </c>
      <c r="I8" s="5" t="s">
        <v>79</v>
      </c>
    </row>
    <row r="9">
      <c r="A9" s="7"/>
      <c r="B9" s="7"/>
      <c r="C9" s="7"/>
      <c r="D9" s="8"/>
      <c r="E9" s="9" t="s">
        <v>13</v>
      </c>
      <c r="F9" s="41" t="s">
        <v>80</v>
      </c>
      <c r="G9" s="41" t="s">
        <v>80</v>
      </c>
      <c r="H9" s="42" t="s">
        <v>81</v>
      </c>
      <c r="I9" s="42" t="s">
        <v>81</v>
      </c>
    </row>
    <row r="10">
      <c r="A10" s="13"/>
      <c r="B10" s="13"/>
      <c r="C10" s="13"/>
      <c r="D10" s="14"/>
      <c r="E10" s="15" t="s">
        <v>14</v>
      </c>
      <c r="F10" s="15" t="s">
        <v>15</v>
      </c>
      <c r="G10" s="16" t="s">
        <v>82</v>
      </c>
      <c r="H10" s="15" t="s">
        <v>83</v>
      </c>
      <c r="I10" s="16" t="s">
        <v>84</v>
      </c>
    </row>
    <row r="11" ht="19.5" customHeight="1">
      <c r="B11" s="33" t="s">
        <v>19</v>
      </c>
      <c r="C11" s="19" t="s">
        <v>22</v>
      </c>
      <c r="D11" s="34" t="s">
        <v>23</v>
      </c>
      <c r="E11" s="34" t="s">
        <v>85</v>
      </c>
      <c r="F11" s="34" t="s">
        <v>86</v>
      </c>
      <c r="G11" s="34" t="str">
        <f t="shared" ref="G11:G15" si="1">E11-F11</f>
        <v>#VALUE!</v>
      </c>
      <c r="H11" s="34" t="s">
        <v>87</v>
      </c>
      <c r="I11" s="34" t="str">
        <f t="shared" ref="I11:I16" si="2">H11-G11</f>
        <v>#VALUE!</v>
      </c>
    </row>
    <row r="12" ht="19.5" customHeight="1">
      <c r="B12" s="33" t="s">
        <v>26</v>
      </c>
      <c r="C12" s="19" t="s">
        <v>22</v>
      </c>
      <c r="D12" s="34" t="s">
        <v>23</v>
      </c>
      <c r="E12" s="34" t="s">
        <v>85</v>
      </c>
      <c r="F12" s="34" t="s">
        <v>86</v>
      </c>
      <c r="G12" s="34" t="str">
        <f t="shared" si="1"/>
        <v>#VALUE!</v>
      </c>
      <c r="H12" s="34" t="s">
        <v>87</v>
      </c>
      <c r="I12" s="34" t="str">
        <f t="shared" si="2"/>
        <v>#VALUE!</v>
      </c>
    </row>
    <row r="13" ht="19.5" customHeight="1">
      <c r="B13" s="33" t="s">
        <v>27</v>
      </c>
      <c r="C13" s="19" t="s">
        <v>28</v>
      </c>
      <c r="D13" s="34" t="s">
        <v>29</v>
      </c>
      <c r="E13" s="34" t="s">
        <v>88</v>
      </c>
      <c r="F13" s="34" t="s">
        <v>89</v>
      </c>
      <c r="G13" s="34" t="str">
        <f t="shared" si="1"/>
        <v>#VALUE!</v>
      </c>
      <c r="H13" s="34" t="s">
        <v>90</v>
      </c>
      <c r="I13" s="34" t="str">
        <f t="shared" si="2"/>
        <v>#VALUE!</v>
      </c>
    </row>
    <row r="14" ht="19.5" customHeight="1">
      <c r="B14" s="33" t="s">
        <v>32</v>
      </c>
      <c r="C14" s="19" t="s">
        <v>22</v>
      </c>
      <c r="D14" s="34" t="s">
        <v>23</v>
      </c>
      <c r="E14" s="34" t="s">
        <v>85</v>
      </c>
      <c r="F14" s="34" t="s">
        <v>86</v>
      </c>
      <c r="G14" s="34" t="str">
        <f t="shared" si="1"/>
        <v>#VALUE!</v>
      </c>
      <c r="H14" s="34" t="s">
        <v>87</v>
      </c>
      <c r="I14" s="34" t="str">
        <f t="shared" si="2"/>
        <v>#VALUE!</v>
      </c>
    </row>
    <row r="15" ht="19.5" customHeight="1">
      <c r="B15" s="33" t="s">
        <v>33</v>
      </c>
      <c r="C15" s="19" t="s">
        <v>22</v>
      </c>
      <c r="D15" s="34" t="s">
        <v>23</v>
      </c>
      <c r="E15" s="34" t="s">
        <v>85</v>
      </c>
      <c r="F15" s="34" t="s">
        <v>86</v>
      </c>
      <c r="G15" s="34" t="str">
        <f t="shared" si="1"/>
        <v>#VALUE!</v>
      </c>
      <c r="H15" s="34" t="s">
        <v>87</v>
      </c>
      <c r="I15" s="34" t="str">
        <f t="shared" si="2"/>
        <v>#VALUE!</v>
      </c>
    </row>
    <row r="16" ht="19.5" customHeight="1">
      <c r="A16" s="17"/>
      <c r="B16" s="33" t="s">
        <v>34</v>
      </c>
      <c r="C16" s="19">
        <f t="array" ref="C16">ROUND(SUM(C11:C15)*SUMPRODUCT(MID(0&amp;B16, LARGE(INDEX(ISNUMBER(--MID(B16, ROW(INDIRECT("1:"&amp;LEN(B16))), 1)) * ROW(INDIRECT("1:"&amp;LEN(B16))), 0), ROW(INDIRECT("1:"&amp;LEN(B16))))+1, 1) * 10^ROW(INDIRECT("1:"&amp;LEN(B16)))/10)%, 2)</f>
        <v>0</v>
      </c>
      <c r="D16" s="19">
        <f t="array" ref="D16">ROUND(SUM(D11:D15)*SUMPRODUCT(MID(0&amp;B16, LARGE(INDEX(ISNUMBER(--MID(B16, ROW(INDIRECT("1:"&amp;LEN(B16))), 1)) * ROW(INDIRECT("1:"&amp;LEN(B16))), 0), ROW(INDIRECT("1:"&amp;LEN(B16))))+1, 1) * 10^ROW(INDIRECT("1:"&amp;LEN(B16)))/10)%, 2)</f>
        <v>0</v>
      </c>
      <c r="E16" s="19">
        <f t="array" ref="E16">ROUND(SUM(E11:E15)*SUMPRODUCT(MID(0&amp;B16, LARGE(INDEX(ISNUMBER(--MID(B16, ROW(INDIRECT("1:"&amp;LEN(B16))), 1)) * ROW(INDIRECT("1:"&amp;LEN(B16))), 0), ROW(INDIRECT("1:"&amp;LEN(B16))))+1, 1) * 10^ROW(INDIRECT("1:"&amp;LEN(B16)))/10)%, 2)</f>
        <v>0</v>
      </c>
      <c r="F16" s="19">
        <f t="array" ref="F16">ROUND(SUM(F11:F15)*SUMPRODUCT(MID(0&amp;B16, LARGE(INDEX(ISNUMBER(--MID(B16, ROW(INDIRECT("1:"&amp;LEN(B16))), 1)) * ROW(INDIRECT("1:"&amp;LEN(B16))), 0), ROW(INDIRECT("1:"&amp;LEN(B16))))+1, 1) * 10^ROW(INDIRECT("1:"&amp;LEN(B16)))/10)%, 2)</f>
        <v>0</v>
      </c>
      <c r="G16" s="19" t="str">
        <f t="array" ref="G16">ROUND(SUM(G11:G15)*SUMPRODUCT(MID(0&amp;B16, LARGE(INDEX(ISNUMBER(--MID(B16, ROW(INDIRECT("1:"&amp;LEN(B16))), 1)) * ROW(INDIRECT("1:"&amp;LEN(B16))), 0), ROW(INDIRECT("1:"&amp;LEN(B16))))+1, 1) * 10^ROW(INDIRECT("1:"&amp;LEN(B16)))/10)%, 2)</f>
        <v>#VALUE!</v>
      </c>
      <c r="H16" s="19">
        <f t="array" ref="H16">ROUND(SUM(H11:H15)*SUMPRODUCT(MID(0&amp;B16, LARGE(INDEX(ISNUMBER(--MID(B16, ROW(INDIRECT("1:"&amp;LEN(B16))), 1)) * ROW(INDIRECT("1:"&amp;LEN(B16))), 0), ROW(INDIRECT("1:"&amp;LEN(B16))))+1, 1) * 10^ROW(INDIRECT("1:"&amp;LEN(B16)))/10)%, 2)</f>
        <v>0</v>
      </c>
      <c r="I16" s="34" t="str">
        <f t="shared" si="2"/>
        <v>#VALUE!</v>
      </c>
    </row>
    <row r="17">
      <c r="A17" s="13"/>
      <c r="B17" s="13"/>
      <c r="C17" s="13"/>
      <c r="D17" s="13"/>
      <c r="E17" s="13"/>
      <c r="F17" s="13"/>
      <c r="G17" s="21"/>
      <c r="H17" s="21"/>
      <c r="I17" s="22" t="str">
        <f>SUM(I11:I16)</f>
        <v>#VALUE!</v>
      </c>
    </row>
    <row r="18">
      <c r="A18" s="13"/>
      <c r="B18" s="13"/>
      <c r="C18" s="13"/>
      <c r="D18" s="13"/>
      <c r="E18" s="13"/>
      <c r="F18" s="13"/>
      <c r="G18" s="13"/>
      <c r="H18" s="23" t="s">
        <v>91</v>
      </c>
      <c r="I18" s="23"/>
    </row>
    <row r="19">
      <c r="A19" s="13"/>
      <c r="B19" s="13"/>
      <c r="C19" s="13"/>
      <c r="D19" s="13"/>
      <c r="E19" s="13"/>
      <c r="F19" s="13"/>
      <c r="G19" s="13"/>
      <c r="H19" s="23" t="s">
        <v>36</v>
      </c>
      <c r="I19" s="24" t="str">
        <f>I17-I18</f>
        <v>#VALUE!</v>
      </c>
    </row>
    <row r="20">
      <c r="A20" s="25"/>
      <c r="B20" s="25"/>
      <c r="C20" s="25"/>
      <c r="D20" s="25"/>
      <c r="E20" s="25"/>
      <c r="F20" s="25"/>
      <c r="G20" s="25"/>
      <c r="H20" s="25"/>
      <c r="I20" s="26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</row>
    <row r="22" ht="15.75" customHeight="1">
      <c r="A22" s="27" t="s">
        <v>37</v>
      </c>
      <c r="B22" s="27"/>
      <c r="C22" s="27"/>
      <c r="D22" s="25"/>
      <c r="E22" s="25"/>
      <c r="F22" s="25"/>
      <c r="G22" s="25"/>
      <c r="H22" s="25"/>
      <c r="I22" s="25"/>
    </row>
    <row r="23" ht="15.75" customHeight="1">
      <c r="A23" s="25" t="s">
        <v>38</v>
      </c>
      <c r="B23" s="25"/>
      <c r="C23" s="25"/>
      <c r="D23" s="25"/>
      <c r="E23" s="25"/>
      <c r="F23" s="25"/>
      <c r="G23" s="25"/>
      <c r="H23" s="25"/>
      <c r="I23" s="25"/>
    </row>
    <row r="24" ht="15.75" customHeight="1">
      <c r="A24" s="25" t="s">
        <v>68</v>
      </c>
      <c r="B24" s="25"/>
      <c r="C24" s="25"/>
      <c r="D24" s="25"/>
      <c r="E24" s="25"/>
      <c r="F24" s="25"/>
      <c r="G24" s="25"/>
      <c r="H24" s="25"/>
      <c r="I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</row>
    <row r="28" ht="15.75" customHeight="1">
      <c r="A28" s="28"/>
      <c r="B28" s="28"/>
      <c r="C28" s="28"/>
      <c r="D28" s="25"/>
      <c r="E28" s="25"/>
      <c r="F28" s="25"/>
      <c r="G28" s="25"/>
      <c r="H28" s="25"/>
      <c r="I28" s="25"/>
    </row>
    <row r="29" ht="15.75" customHeight="1">
      <c r="A29" s="25" t="s">
        <v>39</v>
      </c>
      <c r="B29" s="25"/>
      <c r="C29" s="25"/>
      <c r="D29" s="25"/>
      <c r="E29" s="25"/>
      <c r="F29" s="25"/>
      <c r="G29" s="25"/>
      <c r="H29" s="25"/>
      <c r="I29" s="25"/>
    </row>
    <row r="30" ht="15.75" customHeight="1">
      <c r="A30" s="25" t="s">
        <v>40</v>
      </c>
      <c r="B30" s="25"/>
      <c r="C30" s="25"/>
      <c r="D30" s="25"/>
      <c r="E30" s="25"/>
      <c r="F30" s="25"/>
      <c r="G30" s="25"/>
      <c r="H30" s="25"/>
      <c r="I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ht="15.75" customHeight="1">
      <c r="A33" s="28"/>
      <c r="B33" s="28"/>
      <c r="C33" s="28"/>
      <c r="D33" s="25"/>
      <c r="E33" s="25"/>
      <c r="F33" s="25"/>
      <c r="G33" s="25"/>
      <c r="H33" s="25"/>
      <c r="I33" s="25"/>
    </row>
    <row r="34" ht="15.75" customHeight="1">
      <c r="A34" s="25" t="s">
        <v>41</v>
      </c>
      <c r="B34" s="25"/>
      <c r="C34" s="25"/>
      <c r="D34" s="25"/>
      <c r="E34" s="25"/>
      <c r="F34" s="25"/>
      <c r="G34" s="25"/>
      <c r="H34" s="25"/>
      <c r="I34" s="25"/>
    </row>
    <row r="35" ht="15.75" customHeight="1">
      <c r="A35" s="25" t="s">
        <v>42</v>
      </c>
      <c r="B35" s="25"/>
      <c r="C35" s="25"/>
      <c r="D35" s="25"/>
      <c r="E35" s="25"/>
      <c r="F35" s="25"/>
      <c r="G35" s="25"/>
      <c r="H35" s="25"/>
      <c r="I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ht="15.75" customHeight="1">
      <c r="A37" s="29" t="s">
        <v>92</v>
      </c>
      <c r="B37" s="29"/>
      <c r="C37" s="29"/>
      <c r="D37" s="25"/>
      <c r="E37" s="25"/>
      <c r="F37" s="25"/>
      <c r="G37" s="25"/>
      <c r="H37" s="25"/>
      <c r="I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ht="15.75" customHeight="1">
      <c r="A39" s="25" t="s">
        <v>44</v>
      </c>
      <c r="B39" s="25"/>
      <c r="C39" s="25"/>
      <c r="D39" s="25"/>
      <c r="E39" s="25"/>
      <c r="F39" s="25"/>
      <c r="G39" s="25"/>
      <c r="H39" s="25"/>
      <c r="I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ht="15.75" customHeight="1">
      <c r="A41" s="30" t="s">
        <v>45</v>
      </c>
      <c r="B41" s="30"/>
      <c r="C41" s="30"/>
      <c r="D41" s="25"/>
      <c r="E41" s="25"/>
      <c r="F41" s="25"/>
      <c r="G41" s="25"/>
      <c r="H41" s="25"/>
      <c r="I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ht="15.75" customHeight="1">
      <c r="A43" s="31" t="s">
        <v>46</v>
      </c>
      <c r="D43" s="32" t="s">
        <v>47</v>
      </c>
      <c r="E43" s="32"/>
      <c r="F43" s="32"/>
      <c r="G43" s="25"/>
      <c r="H43" s="25"/>
      <c r="I43" s="25"/>
    </row>
    <row r="44" ht="15.75" customHeight="1">
      <c r="A44" s="31" t="s">
        <v>48</v>
      </c>
      <c r="D44" s="32" t="s">
        <v>49</v>
      </c>
      <c r="E44" s="32"/>
      <c r="F44" s="32"/>
      <c r="G44" s="25"/>
      <c r="H44" s="25"/>
      <c r="I44" s="25"/>
    </row>
    <row r="45" ht="15.75" customHeight="1">
      <c r="A45" s="31" t="s">
        <v>50</v>
      </c>
      <c r="D45" s="32" t="s">
        <v>51</v>
      </c>
      <c r="E45" s="32"/>
      <c r="F45" s="32"/>
      <c r="G45" s="25"/>
      <c r="H45" s="25"/>
      <c r="I45" s="2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3:C43"/>
    <mergeCell ref="A44:C44"/>
    <mergeCell ref="A45:C45"/>
  </mergeCells>
  <conditionalFormatting sqref="C11:I15 I16">
    <cfRule type="containsBlanks" dxfId="0" priority="1">
      <formula>LEN(TRIM(C11))=0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2015-09-16T06:05:56Z</dcterms:created>
  <dc:creator>Eugene SEE (NRF)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</Properties>
</file>