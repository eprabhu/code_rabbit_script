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227"/>
  <workbookPr/>
  <mc:AlternateContent xmlns:mc="http://schemas.openxmlformats.org/markup-compatibility/2006">
    <mc:Choice Requires="x15">
      <x15ac:absPath xmlns:x15ac="http://schemas.microsoft.com/office/spreadsheetml/2010/11/ac" url="C:\Users\aswathy.raj\Downloads\Claim templates stage instance\changed templates\"/>
    </mc:Choice>
  </mc:AlternateContent>
  <xr:revisionPtr revIDLastSave="0" documentId="13_ncr:1_{4EFA2E55-CACF-428B-9C6A-60A8FDAE962E}" xr6:coauthVersionLast="47" xr6:coauthVersionMax="47" xr10:uidLastSave="{00000000-0000-0000-0000-000000000000}"/>
  <bookViews>
    <workbookView xWindow="-120" yWindow="-120" windowWidth="20730" windowHeight="11160" activeTab="1" xr2:uid="{00000000-000D-0000-FFFF-FFFF00000000}"/>
  </bookViews>
  <sheets>
    <sheet name="Instructions" sheetId="4" r:id="rId1"/>
    <sheet name="Claim Template" sheetId="1" r:id="rId2"/>
    <sheet name="Appendix 1" sheetId="5" r:id="rId3"/>
  </sheets>
  <definedNames>
    <definedName name="_xlnm.Print_Area" localSheetId="2">'Appendix 1'!$A$1:$K$57</definedName>
    <definedName name="_xlnm.Print_Titles" localSheetId="2">'Appendix 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7" i="5" l="1"/>
  <c r="G12" i="1"/>
  <c r="H12" i="1" s="1"/>
  <c r="E17" i="1" a="1"/>
  <c r="E17" i="1" l="1"/>
  <c r="D13" i="5"/>
  <c r="C14" i="1"/>
  <c r="D14" i="1"/>
  <c r="E14" i="1"/>
  <c r="F14" i="1"/>
  <c r="E13" i="5"/>
  <c r="C13" i="5"/>
  <c r="G14" i="1" l="1"/>
  <c r="H14" i="1" s="1"/>
  <c r="G17" i="1"/>
  <c r="H17" i="1" s="1"/>
  <c r="C16" i="1"/>
  <c r="G13" i="1"/>
  <c r="H13" i="1" s="1"/>
  <c r="G19" i="1"/>
  <c r="H19" i="1" s="1"/>
  <c r="F16" i="1"/>
  <c r="E16" i="1"/>
  <c r="G16" i="1" l="1"/>
  <c r="G9" i="1"/>
  <c r="G10" i="1" l="1"/>
  <c r="G11" i="1"/>
  <c r="H10" i="1" l="1"/>
  <c r="H11" i="1"/>
  <c r="H9" i="1"/>
  <c r="D16" i="1" l="1"/>
  <c r="H16" i="1" s="1"/>
  <c r="H38" i="5" l="1"/>
  <c r="H39" i="5"/>
  <c r="J39" i="5" s="1"/>
  <c r="F32" i="5"/>
  <c r="H23" i="5"/>
  <c r="I1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Vaikunda Raja</author>
  </authors>
  <commentList>
    <comment ref="A1" authorId="0" shapeId="0" xr:uid="{5D7A1490-1465-4646-8C57-98E264C49AD8}">
      <text>
        <r>
          <rPr>
            <b/>
            <sz val="9"/>
            <color indexed="81"/>
            <rFont val="Tahoma"/>
            <family val="2"/>
          </rPr>
          <t>jx:area(lastCell="H7")</t>
        </r>
        <r>
          <rPr>
            <sz val="9"/>
            <color indexed="81"/>
            <rFont val="Tahoma"/>
            <family val="2"/>
          </rPr>
          <t xml:space="preserve">
</t>
        </r>
      </text>
    </comment>
    <comment ref="C9" authorId="0" shapeId="0" xr:uid="{6E33E574-231F-493E-B250-67C8C82E4DF6}">
      <text>
        <r>
          <rPr>
            <b/>
            <sz val="9"/>
            <color indexed="81"/>
            <rFont val="Tahoma"/>
            <family val="2"/>
          </rPr>
          <t xml:space="preserve">jx:area(lastCell="H9")
jx:each (items="claimVO.claimSummary" var="summary" lastCell="H9" select="summary.budgetCategory.code == 'EOM'")
</t>
        </r>
      </text>
    </comment>
    <comment ref="C10" authorId="0" shapeId="0" xr:uid="{0CFEB13B-330C-4DEB-87BD-695E30C6442B}">
      <text>
        <r>
          <rPr>
            <b/>
            <sz val="9"/>
            <color indexed="81"/>
            <rFont val="Tahoma"/>
            <family val="2"/>
          </rPr>
          <t xml:space="preserve">jx:area(lastCell="H10")
jx:each (items="claimVO.claimSummary" var="summary" lastCell="H10" select="summary.budgetCategory.code == 'EQT'")
</t>
        </r>
      </text>
    </comment>
    <comment ref="C11" authorId="0" shapeId="0" xr:uid="{DA1D32D8-72BB-4DFF-8A6E-7511DE77571E}">
      <text>
        <r>
          <rPr>
            <b/>
            <sz val="9"/>
            <color indexed="81"/>
            <rFont val="Tahoma"/>
            <family val="2"/>
          </rPr>
          <t xml:space="preserve">jx:area(lastCell="J11")
</t>
        </r>
      </text>
    </comment>
    <comment ref="C12" authorId="0" shapeId="0" xr:uid="{6E89B5C2-0D4D-4962-9235-564CB9409E7F}">
      <text>
        <r>
          <rPr>
            <b/>
            <sz val="9"/>
            <color indexed="81"/>
            <rFont val="Tahoma"/>
            <family val="2"/>
          </rPr>
          <t xml:space="preserve">jx:area(lastCell="H12")
jx:each (items="claimVO.claimSummary" var="summary" lastCell="H12" select="summary.budgetCategory.code == 'OST' ")
</t>
        </r>
      </text>
    </comment>
    <comment ref="C13" authorId="0" shapeId="0" xr:uid="{6D8BA0A2-D16D-4404-9A87-74E1B13676A2}">
      <text>
        <r>
          <rPr>
            <b/>
            <sz val="9"/>
            <color indexed="81"/>
            <rFont val="Tahoma"/>
            <family val="2"/>
          </rPr>
          <t xml:space="preserve">jx:area(lastCell="H13")
jx:each (items="claimVO.claimSummary" var="summary" lastCell="H13" select="summary.budgetCategory.code == 'RSS'")
</t>
        </r>
      </text>
    </comment>
    <comment ref="A14" authorId="0" shapeId="0" xr:uid="{08E256DB-84E3-4CAC-B425-37597F98F75C}">
      <text>
        <r>
          <rPr>
            <b/>
            <sz val="9"/>
            <color indexed="81"/>
            <rFont val="Tahoma"/>
            <family val="2"/>
          </rPr>
          <t>jx:area(lastCell="H28")</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Vaikunda Raja</author>
    <author>vaikundaraja.t</author>
  </authors>
  <commentList>
    <comment ref="A1" authorId="0" shapeId="0" xr:uid="{1D193AF9-46DA-4559-81EB-69CE189F67BD}">
      <text>
        <r>
          <rPr>
            <b/>
            <sz val="9"/>
            <color indexed="81"/>
            <rFont val="Tahoma"/>
            <family val="2"/>
          </rPr>
          <t>jx:area(lastCell="J61")</t>
        </r>
        <r>
          <rPr>
            <sz val="9"/>
            <color indexed="81"/>
            <rFont val="Tahoma"/>
            <family val="2"/>
          </rPr>
          <t xml:space="preserve">
</t>
        </r>
      </text>
    </comment>
    <comment ref="A12" authorId="0" shapeId="0" xr:uid="{DD5DDCD5-B4CC-4B73-AFF8-0E191B6ABE29}">
      <text>
        <r>
          <rPr>
            <b/>
            <sz val="9"/>
            <color indexed="81"/>
            <rFont val="Tahoma"/>
            <family val="2"/>
          </rPr>
          <t>jx:each (items="claimVO.claimSummaryDetails" var="summary" lastCell="J13" select="summary.budgetCategory.code == 'EOM'")
jx:each(items="summary.groupedTransactions" var="transaction" lastCell="J13")</t>
        </r>
      </text>
    </comment>
    <comment ref="A13" authorId="1" shapeId="0" xr:uid="{6C934FC1-A82E-4855-97F8-C57789BC7768}">
      <text>
        <r>
          <rPr>
            <sz val="9"/>
            <rFont val="Times New Roman"/>
            <family val="1"/>
          </rPr>
          <t>jx:each(items="transaction.transactions" var="transactions" lastCell="J13")</t>
        </r>
      </text>
    </comment>
    <comment ref="A22" authorId="1" shapeId="0" xr:uid="{09A60740-E1A2-412D-8075-AB06F2D506D2}">
      <text>
        <r>
          <rPr>
            <sz val="9"/>
            <rFont val="Times New Roman"/>
            <family val="1"/>
          </rPr>
          <t>jx:each (items="claimVO.claimSummaryDetails" var="summary" lastCell="J22" select="summary.budgetCategory.code == 'EQT'")
jx:each(items="summary.groupedTransactions" var="transaction" lastCell="J22")
jx:each(items="transaction.transactions" var="transactions" lastCell="J22")</t>
        </r>
      </text>
    </comment>
    <comment ref="A31" authorId="0" shapeId="0" xr:uid="{33E1A275-1E6E-481F-BF0A-C191A7DC020D}">
      <text>
        <r>
          <rPr>
            <sz val="9"/>
            <color indexed="81"/>
            <rFont val="Tahoma"/>
            <family val="2"/>
          </rPr>
          <t>jx:each (items="claimVO.claimSummaryDetails" var="summary" lastCell="J31" select="summary.budgetCategory.code == 'OOE' or summary.budgetCategory.code == 'MAC'")
jx:each(items="summary.groupedTransactions" var="transaction" lastCell="J31")
jx:each(items="transaction.transactions" var="transactions" lastCell="J31")</t>
        </r>
      </text>
    </comment>
    <comment ref="A38" authorId="0" shapeId="0" xr:uid="{8A64302B-6C5C-4651-9051-BE3A5D057336}">
      <text>
        <r>
          <rPr>
            <b/>
            <sz val="9"/>
            <color indexed="81"/>
            <rFont val="Tahoma"/>
            <family val="2"/>
          </rPr>
          <t>jx:each (items="claimVO.claimSummaryDetails" var="summary" lastCell="J38" select="summary.budgetCategory.code == 'OST'")
jx:each(items="summary.groupedTransactions" var="transaction" lastCell="J38")
jx:each(items="transaction.transactions" var="transactions" lastCell="J38")</t>
        </r>
      </text>
    </comment>
    <comment ref="A47" authorId="0" shapeId="0" xr:uid="{7540308B-1F23-4A26-ACA0-E72BCB724581}">
      <text>
        <r>
          <rPr>
            <b/>
            <sz val="9"/>
            <color indexed="81"/>
            <rFont val="Tahoma"/>
            <family val="2"/>
          </rPr>
          <t>jx:each (items="claimVO.claimSummaryDetails" var="summary" lastCell="J47" select="summary.budgetCategory.code == 'RSS'")
jx:each(items="summary.groupedTransactions" var="transaction" lastCell="J47")
jx:each(items="transaction.transactions" var="transactions" lastCell="J47")</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<sst xmlns="http://schemas.openxmlformats.org/spreadsheetml/2006/main" count="236" uniqueCount="171">
  <si>
    <t>Instructions for submission of claims</t>
  </si>
  <si>
    <t>1)</t>
  </si>
  <si>
    <t>2)</t>
  </si>
  <si>
    <t xml:space="preserve">For projects with Partner Institutions, the Co-PI may submit a separate Appendix 1 for its portion of the grant expenses. The Host institution will collate and summarize the expense incurred in the Claim Template. </t>
  </si>
  <si>
    <t>3)</t>
  </si>
  <si>
    <t>Please enclose the following documents for claims submission:</t>
  </si>
  <si>
    <t xml:space="preserve">a) Claim Template (signed) &amp; Appendix 1; </t>
  </si>
  <si>
    <t>b) Accounting sytem print-out of expenses incurred for the project (by institution if applicable); and</t>
  </si>
  <si>
    <t>c) Approved virement requests for the claim period. Please also summarize virements made in Appendix 1.</t>
  </si>
  <si>
    <t>4)</t>
  </si>
  <si>
    <t>5)</t>
  </si>
  <si>
    <t>6)</t>
  </si>
  <si>
    <t>Funds will be disbursed directly to the Host Institution. The Host Institution shall be responsible for distribution of the funds to the Partner Institutions where appropriate.</t>
  </si>
  <si>
    <t>7)</t>
  </si>
  <si>
    <t>Claims for expenditures should be submitted soon after they have been incurred. Claims that are more than 2 quarters late will require strong justification.</t>
  </si>
  <si>
    <t>FOR THE CLAIM PERIOD</t>
  </si>
  <si>
    <t>Name of Host Institution:</t>
  </si>
  <si>
    <t>Recipient Details</t>
  </si>
  <si>
    <t>Description of Expenditure Items (S$)</t>
  </si>
  <si>
    <t>Original Grant
Amount</t>
  </si>
  <si>
    <t>${summary.originalApprovedBudget}</t>
  </si>
  <si>
    <t>${summary.latestApprovedBudget}</t>
  </si>
  <si>
    <t>${summary.amountRequested}</t>
  </si>
  <si>
    <t>${summary.prevClaimsTotalAmount}</t>
  </si>
  <si>
    <t>D.</t>
  </si>
  <si>
    <t>E.</t>
  </si>
  <si>
    <t>F.</t>
  </si>
  <si>
    <t>G.</t>
  </si>
  <si>
    <t>H.</t>
  </si>
  <si>
    <t>I.</t>
  </si>
  <si>
    <t>DETAILS OF AMOUNT REQUESTED</t>
  </si>
  <si>
    <t>(A) Expenditure on Manpower</t>
  </si>
  <si>
    <t>Only expenses incurred within the "Programme Start Date" and "Programme End Date" will be supportable.</t>
  </si>
  <si>
    <t>Please indicate the classification of the staff according to the approved budget.</t>
  </si>
  <si>
    <t>Name of staff &amp; Description of Expense</t>
  </si>
  <si>
    <t>Designation &amp; Manpower Type</t>
  </si>
  <si>
    <t xml:space="preserve">Monthly Basic                     </t>
  </si>
  <si>
    <t xml:space="preserve">Employer CPF                     </t>
  </si>
  <si>
    <t xml:space="preserve">Other Costs          </t>
  </si>
  <si>
    <t xml:space="preserve">Involvement period for current claim                    </t>
  </si>
  <si>
    <t xml:space="preserve">Actual Expenses Paid </t>
  </si>
  <si>
    <t xml:space="preserve">Level of Support </t>
  </si>
  <si>
    <t>Claim Amount = (o) x (p)</t>
  </si>
  <si>
    <t>$</t>
  </si>
  <si>
    <t>(dd/mm/yy to dd/mm/yy)</t>
  </si>
  <si>
    <t>(o) $</t>
  </si>
  <si>
    <t>(p) %</t>
  </si>
  <si>
    <t>${transactions.descriptionOfExpenditure}</t>
  </si>
  <si>
    <t>${transactions.levelOfSupportPercentage}</t>
  </si>
  <si>
    <t>${transactions.adjustedTotal}</t>
  </si>
  <si>
    <t>Subtotal</t>
  </si>
  <si>
    <t xml:space="preserve">(B) Equipment </t>
  </si>
  <si>
    <t>Please classify the expense according to the line item in the approved budget.</t>
  </si>
  <si>
    <t>Qualifying Item</t>
  </si>
  <si>
    <t>Quantity</t>
  </si>
  <si>
    <t>Date of Delivery</t>
  </si>
  <si>
    <t>Unit Purchase Cost</t>
  </si>
  <si>
    <t>Actual Expenses Paid</t>
  </si>
  <si>
    <t>Level of Support</t>
  </si>
  <si>
    <t>Claim Amount</t>
  </si>
  <si>
    <t>(dd/mm/yy)</t>
  </si>
  <si>
    <t>($)</t>
  </si>
  <si>
    <t>(h) ($)</t>
  </si>
  <si>
    <t>(p) (%)</t>
  </si>
  <si>
    <t>= (h) x (p)</t>
  </si>
  <si>
    <t>(C) Other Operating Expenditure (OOE)</t>
  </si>
  <si>
    <t>(o) ($)</t>
  </si>
  <si>
    <t>= (o) x (p)</t>
  </si>
  <si>
    <t>Country</t>
  </si>
  <si>
    <t>Travel Type</t>
  </si>
  <si>
    <t>Period of Visit</t>
  </si>
  <si>
    <t>Number of Days of Official Visit</t>
  </si>
  <si>
    <t>Airfare (return economy)</t>
  </si>
  <si>
    <t>Accomodation/ Subsistence/ Other Expenses</t>
  </si>
  <si>
    <t>Total Cost of Trip</t>
  </si>
  <si>
    <t>(E.g. Conference/ working visit)</t>
  </si>
  <si>
    <t>(a)</t>
  </si>
  <si>
    <t>(b)</t>
  </si>
  <si>
    <t xml:space="preserve">(c) = (a) + (b) </t>
  </si>
  <si>
    <t>Virement Requests Approved During the Claim Period</t>
  </si>
  <si>
    <t>Category</t>
  </si>
  <si>
    <t>Amounts Vired From</t>
  </si>
  <si>
    <t>Amounts Vired To</t>
  </si>
  <si>
    <t>Date Approved</t>
  </si>
  <si>
    <t xml:space="preserve">Comments </t>
  </si>
  <si>
    <t>(A) Expenditure on Manpower (EOM)</t>
  </si>
  <si>
    <t>(B) Equipment</t>
  </si>
  <si>
    <t>${transactions.country}</t>
  </si>
  <si>
    <t>${transactions.travelType}</t>
  </si>
  <si>
    <t>${transactions.periodOfVisit}</t>
  </si>
  <si>
    <t>${transactions.numberOfDaysOfVisit}</t>
  </si>
  <si>
    <t>${transactions.expenseCaped}</t>
  </si>
  <si>
    <t>Expenditure on Manpower</t>
  </si>
  <si>
    <t>Equipment</t>
  </si>
  <si>
    <t>Other Operating Expenses</t>
  </si>
  <si>
    <t>Overseas Travel</t>
  </si>
  <si>
    <t>REIMBURSEMENT CLAIM FOR AWARDED COT/SPACE BHAG PROJECT</t>
  </si>
  <si>
    <r>
      <t xml:space="preserve">Revised Grant 
Amount </t>
    </r>
    <r>
      <rPr>
        <i/>
        <sz val="9"/>
        <rFont val="Arial"/>
        <family val="2"/>
      </rPr>
      <t xml:space="preserve">(including virements)[As per IGMS Revised Budget]
</t>
    </r>
    <r>
      <rPr>
        <b/>
        <i/>
        <sz val="9"/>
        <rFont val="Arial"/>
        <family val="2"/>
      </rPr>
      <t>(a)</t>
    </r>
  </si>
  <si>
    <r>
      <rPr>
        <b/>
        <vertAlign val="superscript"/>
        <sz val="9"/>
        <rFont val="Arial"/>
        <family val="2"/>
      </rPr>
      <t>[2]</t>
    </r>
    <r>
      <rPr>
        <b/>
        <sz val="9"/>
        <rFont val="Arial"/>
        <family val="2"/>
      </rPr>
      <t xml:space="preserve"> Amount Requested for Current Claim
(b)</t>
    </r>
  </si>
  <si>
    <t>Amount Requested up to Previous Claim
(c)</t>
  </si>
  <si>
    <t>Total Amount Requested
(d) = (b)+(c)</t>
  </si>
  <si>
    <t>Grant Amount Remaining 
(e) = (a) - (d)</t>
  </si>
  <si>
    <t>A.</t>
  </si>
  <si>
    <t>B.</t>
  </si>
  <si>
    <t>C.</t>
  </si>
  <si>
    <t>Research Scholarship</t>
  </si>
  <si>
    <r>
      <rPr>
        <b/>
        <sz val="10"/>
        <rFont val="Arial"/>
        <family val="2"/>
      </rPr>
      <t>Total Direct Costs</t>
    </r>
    <r>
      <rPr>
        <sz val="10"/>
        <rFont val="Arial"/>
        <family val="2"/>
      </rPr>
      <t xml:space="preserve">
</t>
    </r>
    <r>
      <rPr>
        <i/>
        <sz val="10"/>
        <rFont val="Arial"/>
        <family val="2"/>
      </rPr>
      <t>(calculated as A+B+C+D+E)</t>
    </r>
  </si>
  <si>
    <r>
      <t xml:space="preserve">Qualifying Approved Direct Costs for computing overheads </t>
    </r>
    <r>
      <rPr>
        <i/>
        <sz val="10"/>
        <rFont val="Arial"/>
        <family val="2"/>
      </rPr>
      <t>(F-E)</t>
    </r>
  </si>
  <si>
    <r>
      <rPr>
        <b/>
        <sz val="10"/>
        <rFont val="Arial"/>
        <family val="2"/>
      </rPr>
      <t>Total Expenditure (S$)</t>
    </r>
    <r>
      <rPr>
        <sz val="10"/>
        <rFont val="Arial"/>
        <family val="2"/>
      </rPr>
      <t xml:space="preserve"> 
</t>
    </r>
    <r>
      <rPr>
        <i/>
        <sz val="10"/>
        <rFont val="Arial"/>
        <family val="2"/>
      </rPr>
      <t>(calculated as F+H)</t>
    </r>
  </si>
  <si>
    <r>
      <rPr>
        <b/>
        <u/>
        <sz val="10"/>
        <rFont val="Arial"/>
        <family val="2"/>
      </rPr>
      <t>Declaration:</t>
    </r>
    <r>
      <rPr>
        <sz val="10"/>
        <rFont val="Arial"/>
        <family val="2"/>
      </rPr>
      <t xml:space="preserve">
We hereby certify that the statement and supporting document are correct and according to the terms and conditions of the grant, and that they have been verified with their original source documents. We also verify that we have not sought and will not seek reimbursement for the item of expenditure under any other incentives from the Innovation Grant or other government agencies. 
We also declare that there are no prohibited related party transactions submitted in any parts of this claim form.</t>
    </r>
    <r>
      <rPr>
        <b/>
        <sz val="10"/>
        <rFont val="Arial"/>
        <family val="2"/>
      </rPr>
      <t>[Yes / No]</t>
    </r>
    <r>
      <rPr>
        <sz val="10"/>
        <rFont val="Arial"/>
        <family val="2"/>
      </rPr>
      <t xml:space="preserve">
</t>
    </r>
    <r>
      <rPr>
        <b/>
        <u/>
        <sz val="10"/>
        <rFont val="Arial"/>
        <family val="2"/>
      </rPr>
      <t xml:space="preserve">Related party transaction </t>
    </r>
    <r>
      <rPr>
        <b/>
        <u/>
        <sz val="8"/>
        <rFont val="Arial"/>
        <family val="2"/>
      </rPr>
      <t xml:space="preserve">[3] </t>
    </r>
    <r>
      <rPr>
        <sz val="10"/>
        <rFont val="Arial"/>
        <family val="2"/>
      </rPr>
      <t xml:space="preserve">
We disclose related party transactions. </t>
    </r>
    <r>
      <rPr>
        <b/>
        <sz val="10"/>
        <rFont val="Arial"/>
        <family val="2"/>
      </rPr>
      <t>[Nil or Specify Details]:______________________________________________________________</t>
    </r>
  </si>
  <si>
    <r>
      <t>[1]</t>
    </r>
    <r>
      <rPr>
        <sz val="9"/>
        <rFont val="Arial"/>
        <family val="2"/>
      </rPr>
      <t xml:space="preserve"> L2 NIC follows the Singapore Government financial year, which runs from 1 April to 31 March of the following year i.e. 
FY18 covers the period from 1 April 2018 to 31 March 2019 and Qtr 1 covers the period April 2018 to June 2018.</t>
    </r>
  </si>
  <si>
    <r>
      <t>[2]</t>
    </r>
    <r>
      <rPr>
        <sz val="9"/>
        <rFont val="Arial"/>
        <family val="2"/>
      </rPr>
      <t xml:space="preserve"> Please provide details of the amount requested using Appendix 1. The Accounting system print-out should tally to the amount requested. If not, please provide a reconciliation for the difference.</t>
    </r>
  </si>
  <si>
    <r>
      <t>[3]</t>
    </r>
    <r>
      <rPr>
        <sz val="9"/>
        <rFont val="Arial"/>
        <family val="2"/>
      </rPr>
      <t xml:space="preserve"> </t>
    </r>
    <r>
      <rPr>
        <b/>
        <vertAlign val="superscript"/>
        <sz val="12"/>
        <rFont val="Arial"/>
        <family val="2"/>
      </rPr>
      <t>A related party transaction is a transfer of resources, services or obligations between a reporting entity and a related party, regardless of whether a price is charged. A related party is a person or entity that is related to the reporting entity as defined under the Financial Reporting Standard 24 (FSR24) published by the Accounting Standards Council.</t>
    </r>
  </si>
  <si>
    <t>Name of Host Institution &amp; Address:${claimVO.claim.recipientOrganization}
${claimVO.claim.recipientStreetName}
${claimVO.claim.recipientState}
${claimVO.claim.recipientPostalCode}</t>
  </si>
  <si>
    <r>
      <t xml:space="preserve">The institutions should pay for the expenditure incurred and subsequently claim </t>
    </r>
    <r>
      <rPr>
        <u/>
        <sz val="11"/>
        <rFont val="Calibri"/>
        <family val="2"/>
        <scheme val="minor"/>
      </rPr>
      <t>reimbursement</t>
    </r>
    <r>
      <rPr>
        <sz val="11"/>
        <rFont val="Calibri"/>
        <family val="2"/>
        <scheme val="minor"/>
      </rPr>
      <t xml:space="preserve"> from L2 NIC on a quarterly basis, through submission to the CoT/Space BHAG Programme Manager.</t>
    </r>
  </si>
  <si>
    <r>
      <t>While supporting documents such as copies of payslips and supplier invoices are not required with each submission, the accounts of the project must be audited by an auditor on an annual basis.  The Host Institution must submit the audit report to</t>
    </r>
    <r>
      <rPr>
        <sz val="11"/>
        <rFont val="Calibri"/>
        <family val="2"/>
        <scheme val="minor"/>
      </rPr>
      <t xml:space="preserve"> L2 NIC Directorate </t>
    </r>
    <r>
      <rPr>
        <sz val="11"/>
        <color theme="1"/>
        <rFont val="Calibri"/>
        <family val="2"/>
        <scheme val="minor"/>
      </rPr>
      <t xml:space="preserve"> when available. If the report is not provided, further disbursements of funds may not be made until the report is submitted.</t>
    </r>
  </si>
  <si>
    <r>
      <t>L2 NIC Directorate r</t>
    </r>
    <r>
      <rPr>
        <u/>
        <sz val="11"/>
        <color theme="1"/>
        <rFont val="Calibri"/>
        <family val="2"/>
        <scheme val="minor"/>
      </rPr>
      <t>eserves the right at any time to request for supporting documents</t>
    </r>
    <r>
      <rPr>
        <sz val="11"/>
        <color theme="1"/>
        <rFont val="Calibri"/>
        <family val="2"/>
        <scheme val="minor"/>
      </rPr>
      <t xml:space="preserve"> (such as copies of payslips and supplier invoices) for expenses incurred.</t>
    </r>
  </si>
  <si>
    <t>Name of Institution:</t>
  </si>
  <si>
    <t>If there are more than one institution, you may submit a separate Appendix 1 for each insitution. However, there should only be one "Claim Template" tab.</t>
  </si>
  <si>
    <t>(D) Overseas Travel</t>
  </si>
  <si>
    <t>(E) Research Scholarship</t>
  </si>
  <si>
    <t>Name of Recipient</t>
  </si>
  <si>
    <t>Description of Expense Item</t>
  </si>
  <si>
    <t>Date/ Period of Expense</t>
  </si>
  <si>
    <r>
      <t xml:space="preserve">Please provide a brief summary of the approved virement requests, including virements </t>
    </r>
    <r>
      <rPr>
        <u/>
        <sz val="11"/>
        <color theme="1"/>
        <rFont val="Calibri"/>
        <family val="2"/>
        <scheme val="minor"/>
      </rPr>
      <t>within</t>
    </r>
    <r>
      <rPr>
        <sz val="11"/>
        <color theme="1"/>
        <rFont val="Calibri"/>
        <family val="2"/>
        <scheme val="minor"/>
      </rPr>
      <t xml:space="preserve"> and </t>
    </r>
    <r>
      <rPr>
        <u/>
        <sz val="11"/>
        <color theme="1"/>
        <rFont val="Calibri"/>
        <family val="2"/>
        <scheme val="minor"/>
      </rPr>
      <t>between</t>
    </r>
    <r>
      <rPr>
        <sz val="11"/>
        <color theme="1"/>
        <rFont val="Calibri"/>
        <family val="2"/>
        <scheme val="minor"/>
      </rPr>
      <t xml:space="preserve"> categories.</t>
    </r>
  </si>
  <si>
    <t>Total Direct Costs 
(summary of (A) to (E)</t>
  </si>
  <si>
    <r>
      <t>Date of submission to</t>
    </r>
    <r>
      <rPr>
        <sz val="10"/>
        <color rgb="FFFF0000"/>
        <rFont val="Arial"/>
        <family val="2"/>
      </rPr>
      <t xml:space="preserve"> </t>
    </r>
    <r>
      <rPr>
        <sz val="10"/>
        <rFont val="Arial"/>
        <family val="2"/>
      </rPr>
      <t>L2/CoT/Space BHAG Programme Manager:${claimVO.claimSubmissionDate}</t>
    </r>
  </si>
  <si>
    <t>$[SUM(U_(C14,C17))]</t>
  </si>
  <si>
    <t>$[SUM(U_(D14,D17))]</t>
  </si>
  <si>
    <t>$[SUM(U_(E14,E17))]</t>
  </si>
  <si>
    <t>$[SUM(U_(F14,F17))]</t>
  </si>
  <si>
    <t>Nanyang Technological University</t>
  </si>
  <si>
    <t>${transaction.manpowerFullName}</t>
  </si>
  <si>
    <t>$[SUM(U_(J38))]</t>
  </si>
  <si>
    <t>$[SUM(U_(H38))]</t>
  </si>
  <si>
    <t>$[SUM(U_(G38))]</t>
  </si>
  <si>
    <t>$[SUM(U_(F38))]</t>
  </si>
  <si>
    <t>$[SUM(U_(E38))]</t>
  </si>
  <si>
    <t>$[SUM(U_(F47))]</t>
  </si>
  <si>
    <t>$[SUM(U_(D47))]</t>
  </si>
  <si>
    <t>$[SUM(U_(C13))]</t>
  </si>
  <si>
    <t>$[SUM(U_(D13))]</t>
  </si>
  <si>
    <t>$[SUM(U_(E13))]</t>
  </si>
  <si>
    <t>$[SUM(U_(G13))]</t>
  </si>
  <si>
    <t>$[SUM(U_(I13))]</t>
  </si>
  <si>
    <t>$[SUM(U_(E22))]</t>
  </si>
  <si>
    <t>${transactions.postingDate}</t>
  </si>
  <si>
    <t>${transaction.manpowerJobDescription}</t>
  </si>
  <si>
    <t>Line Item in approved budget</t>
  </si>
  <si>
    <t>(C) Other Operating Expenses (OOE) / Materials and consumables (MAC)</t>
  </si>
  <si>
    <t>$[SUM(U_(H22))]</t>
  </si>
  <si>
    <t>$[SUM(U_(F22))]</t>
  </si>
  <si>
    <t>$[SUM(U_(D31))]</t>
  </si>
  <si>
    <t>$[SUM(U_(F31))]</t>
  </si>
  <si>
    <t>${(summary.internalOrderCode).substring(15, 20)}</t>
  </si>
  <si>
    <t>${claimVO.summaryOOE_MACSumValues.originalApprovedBudgetForOOEMAC}</t>
  </si>
  <si>
    <t>${claimVO.summaryOOE_MACSumValues.latestApprovedBudgetForOOEMAC}</t>
  </si>
  <si>
    <t>${claimVO.summaryOOE_MACSumValues.prevClaimsTotalAmountForOOEMAC}</t>
  </si>
  <si>
    <t>${claimVO.summaryOOE_MACSumValues.amountRequestedForOOEMAC}</t>
  </si>
  <si>
    <t>${claimVO.claimStartAndEndYear}</t>
  </si>
  <si>
    <t>Signature of Authorised Approving Officer (Director of Research)
Name:${claimVO.claim.rsoName}
Designation:${claimVO.claim.rsoDesignation}
Date:${claimVO.claimRSOApprovalDate}</t>
  </si>
  <si>
    <t>Signature of Lead PI
Name:${claimVO.claim.rdoName}
Designation:${claimVO.claim.rdoDesignation}
Date:${claimVO.claimRDOApprovalDate}</t>
  </si>
  <si>
    <t xml:space="preserve">Signature of Senior Finance Officer
Name:${claimVO.claim.foName}
Designation:${claimVO.claim.foDesignation}
Date:${claimVO.claimFOApprovalDate}
</t>
  </si>
  <si>
    <r>
      <t>Award No:${claimVO.claim.award.sponsorAwardNumber}</t>
    </r>
    <r>
      <rPr>
        <i/>
        <sz val="10"/>
        <rFont val="Arial"/>
        <family val="2"/>
      </rPr>
      <t xml:space="preserve">
</t>
    </r>
    <r>
      <rPr>
        <sz val="10"/>
        <rFont val="Arial"/>
        <family val="2"/>
      </rPr>
      <t>Project Title:${claimVO.claim.award.title}</t>
    </r>
  </si>
  <si>
    <r>
      <rPr>
        <u/>
        <sz val="10"/>
        <rFont val="Arial"/>
        <family val="2"/>
      </rPr>
      <t>Payee Details</t>
    </r>
    <r>
      <rPr>
        <sz val="10"/>
        <rFont val="Arial"/>
        <family val="2"/>
      </rPr>
      <t xml:space="preserve">
Account Name:${claimVO.claim.payeeAccountName}
Account Number:${claimVO.claim.payeeAccountNumber}
Bank Name:${claimVO.claim.payeeBank}</t>
    </r>
  </si>
  <si>
    <t>Name of Lead PI:${claimVO.claim.award.principalInvestigator}
Project Duration:${claimVO.projectDuration}
Project Code:${claimVO.claim.accountNumber}</t>
  </si>
  <si>
    <t>${dateFormat_ddMMyy.format(claimVO.claim.startDate)}  to ${dateFormat_ddMMyy.format(claimVO.claim.endDate)}</t>
  </si>
  <si>
    <t>${claimVO.summaryCalculations.subTotalOfInDirectCost.subTotalInDirOriginalApproved}</t>
  </si>
  <si>
    <t>${claimVO.summaryCalculations.subTotalOfInDirectCost.subTotalInDirLatestApproved}</t>
  </si>
  <si>
    <t>${claimVO.summaryCalculations.subTotalOfInDirectCost.subTotalInDirInPrevClaim}</t>
  </si>
  <si>
    <r>
      <t xml:space="preserve">Overheads if applicable </t>
    </r>
    <r>
      <rPr>
        <i/>
        <sz val="10"/>
        <rFont val="Arial"/>
        <family val="2"/>
      </rPr>
      <t>(${claimVO.oHPercentage}% of F)</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</si>
</sst>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00_-;\-* #,##0.00_-;_-* &quot;-&quot;??_-;_-@_-"/>
    <numFmt numFmtId="165" formatCode="[$-14809]dd/mm/yy;@"/>
    <numFmt numFmtId="166" formatCode="_(* #,##0_);_(* \(#,##0\);_(* &quot;-&quot;??_);_(@_)"/>
    <numFmt numFmtId="167" formatCode="dd\/mm\/yy"/>
  </numFmts>
  <fonts count="43">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scheme val="minor"/>
    </font>
    <font>
      <sz val="10"/>
      <name val="Arial"/>
      <family val="2"/>
    </font>
    <font>
      <sz val="9"/>
      <name val="Times New Roman"/>
      <family val="1"/>
    </font>
    <font>
      <sz val="11"/>
      <color theme="1"/>
      <name val="Calibri"/>
      <family val="2"/>
      <scheme val="minor"/>
    </font>
    <font>
      <b/>
      <sz val="11"/>
      <color theme="1"/>
      <name val="Calibri"/>
      <family val="2"/>
      <scheme val="minor"/>
    </font>
    <font>
      <b/>
      <sz val="9"/>
      <color indexed="81"/>
      <name val="Tahoma"/>
      <family val="2"/>
    </font>
    <font>
      <sz val="11"/>
      <name val="Calibri"/>
      <family val="2"/>
      <scheme val="minor"/>
    </font>
    <font>
      <sz val="7"/>
      <color rgb="FF202124"/>
      <name val="Consolas"/>
      <family val="3"/>
    </font>
    <font>
      <sz val="9"/>
      <color indexed="81"/>
      <name val="Tahoma"/>
      <family val="2"/>
    </font>
    <font>
      <b/>
      <sz val="12"/>
      <name val="Arial"/>
      <family val="2"/>
    </font>
    <font>
      <sz val="12"/>
      <name val="Calibri"/>
      <family val="2"/>
    </font>
    <font>
      <b/>
      <sz val="10"/>
      <name val="Arial"/>
      <family val="2"/>
    </font>
    <font>
      <b/>
      <sz val="9"/>
      <name val="Arial"/>
      <family val="2"/>
    </font>
    <font>
      <b/>
      <vertAlign val="superscript"/>
      <sz val="9"/>
      <name val="Arial"/>
      <family val="2"/>
    </font>
    <font>
      <sz val="9"/>
      <name val="Calibri"/>
      <family val="2"/>
    </font>
    <font>
      <sz val="10"/>
      <name val="Arial"/>
      <family val="2"/>
    </font>
    <font>
      <i/>
      <sz val="10"/>
      <name val="Arial"/>
      <family val="2"/>
    </font>
    <font>
      <b/>
      <sz val="11"/>
      <name val="Calibri"/>
      <family val="2"/>
    </font>
    <font>
      <u/>
      <sz val="10"/>
      <name val="Arial"/>
      <family val="2"/>
    </font>
    <font>
      <i/>
      <sz val="9"/>
      <name val="Arial"/>
      <family val="2"/>
    </font>
    <font>
      <b/>
      <i/>
      <sz val="9"/>
      <name val="Arial"/>
      <family val="2"/>
    </font>
    <font>
      <sz val="10"/>
      <name val="Calibri"/>
      <family val="2"/>
    </font>
    <font>
      <b/>
      <u/>
      <sz val="10"/>
      <name val="Arial"/>
      <family val="2"/>
    </font>
    <font>
      <b/>
      <u/>
      <sz val="8"/>
      <name val="Arial"/>
      <family val="2"/>
    </font>
    <font>
      <sz val="10"/>
      <color rgb="FFFF0000"/>
      <name val="Arial"/>
      <family val="2"/>
    </font>
    <font>
      <vertAlign val="superscript"/>
      <sz val="9"/>
      <name val="Arial"/>
      <family val="2"/>
    </font>
    <font>
      <sz val="9"/>
      <name val="Arial"/>
      <family val="2"/>
    </font>
    <font>
      <b/>
      <vertAlign val="superscript"/>
      <sz val="12"/>
      <name val="Arial"/>
      <family val="2"/>
    </font>
    <font>
      <u/>
      <sz val="11"/>
      <name val="Calibri"/>
      <family val="2"/>
      <scheme val="minor"/>
    </font>
    <font>
      <u/>
      <sz val="11"/>
      <color theme="1"/>
      <name val="Calibri"/>
      <family val="2"/>
      <scheme val="minor"/>
    </font>
    <font>
      <b/>
      <u/>
      <sz val="12"/>
      <color theme="1"/>
      <name val="Calibri"/>
      <family val="2"/>
      <scheme val="minor"/>
    </font>
    <font>
      <b/>
      <u/>
      <sz val="11"/>
      <color theme="1"/>
      <name val="Calibri"/>
      <family val="2"/>
      <scheme val="minor"/>
    </font>
    <font>
      <i/>
      <sz val="11"/>
      <color theme="1"/>
      <name val="Calibri"/>
      <family val="2"/>
      <scheme val="minor"/>
    </font>
    <font>
      <sz val="10"/>
      <color theme="1"/>
      <name val="Calibri"/>
      <family val="2"/>
      <scheme val="minor"/>
    </font>
  </fonts>
  <fills count="5">
    <fill>
      <patternFill patternType="none"/>
    </fill>
    <fill>
      <patternFill patternType="gray125"/>
    </fill>
    <fill>
      <patternFill patternType="solid">
        <fgColor theme="0" tint="-0.24994659260841701"/>
        <bgColor indexed="64"/>
      </patternFill>
    </fill>
    <fill>
      <patternFill patternType="lightUp">
        <bgColor theme="0" tint="-0.24994659260841701"/>
      </patternFill>
    </fill>
    <fill>
      <patternFill patternType="solid">
        <fgColor theme="0"/>
        <bgColor indexed="64"/>
      </patternFill>
    </fill>
  </fills>
  <borders count="44">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auto="1"/>
      </left>
      <right style="thin">
        <color auto="1"/>
      </right>
      <top style="thin">
        <color auto="1"/>
      </top>
      <bottom style="medium">
        <color auto="1"/>
      </bottom>
      <diagonal/>
    </border>
    <border>
      <left style="medium">
        <color auto="1"/>
      </left>
      <right/>
      <top style="medium">
        <color auto="1"/>
      </top>
      <bottom/>
      <diagonal/>
    </border>
    <border>
      <left style="thin">
        <color auto="1"/>
      </left>
      <right style="medium">
        <color auto="1"/>
      </right>
      <top style="medium">
        <color auto="1"/>
      </top>
      <bottom/>
      <diagonal/>
    </border>
    <border>
      <left style="medium">
        <color auto="1"/>
      </left>
      <right/>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medium">
        <color auto="1"/>
      </left>
      <right/>
      <top/>
      <bottom style="thin">
        <color auto="1"/>
      </bottom>
      <diagonal/>
    </border>
    <border>
      <left style="thin">
        <color auto="1"/>
      </left>
      <right style="medium">
        <color auto="1"/>
      </right>
      <top/>
      <bottom style="thin">
        <color auto="1"/>
      </bottom>
      <diagonal/>
    </border>
    <border>
      <left style="medium">
        <color auto="1"/>
      </left>
      <right/>
      <top style="thin">
        <color auto="1"/>
      </top>
      <bottom style="medium">
        <color auto="1"/>
      </bottom>
      <diagonal/>
    </border>
    <border>
      <left style="medium">
        <color auto="1"/>
      </left>
      <right style="thin">
        <color auto="1"/>
      </right>
      <top/>
      <bottom/>
      <diagonal/>
    </border>
    <border>
      <left/>
      <right style="thin">
        <color auto="1"/>
      </right>
      <top style="thin">
        <color auto="1"/>
      </top>
      <bottom style="thin">
        <color auto="1"/>
      </bottom>
      <diagonal/>
    </border>
    <border>
      <left/>
      <right style="thin">
        <color auto="1"/>
      </right>
      <top style="thin">
        <color auto="1"/>
      </top>
      <bottom style="medium">
        <color auto="1"/>
      </bottom>
      <diagonal/>
    </border>
    <border>
      <left style="thin">
        <color auto="1"/>
      </left>
      <right/>
      <top style="medium">
        <color auto="1"/>
      </top>
      <bottom style="thin">
        <color auto="1"/>
      </bottom>
      <diagonal/>
    </border>
    <border>
      <left/>
      <right style="thin">
        <color auto="1"/>
      </right>
      <top/>
      <bottom style="thin">
        <color auto="1"/>
      </bottom>
      <diagonal/>
    </border>
    <border>
      <left style="medium">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right/>
      <top/>
      <bottom style="thin">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auto="1"/>
      </left>
      <right style="medium">
        <color auto="1"/>
      </right>
      <top style="thin">
        <color auto="1"/>
      </top>
      <bottom/>
      <diagonal/>
    </border>
    <border>
      <left style="medium">
        <color auto="1"/>
      </left>
      <right/>
      <top/>
      <bottom/>
      <diagonal/>
    </border>
    <border>
      <left style="thin">
        <color auto="1"/>
      </left>
      <right style="medium">
        <color indexed="64"/>
      </right>
      <top style="medium">
        <color indexed="64"/>
      </top>
      <bottom style="thin">
        <color auto="1"/>
      </bottom>
      <diagonal/>
    </border>
  </borders>
  <cellStyleXfs count="8">
    <xf numFmtId="0" fontId="0" fillId="0" borderId="0"/>
    <xf numFmtId="43" fontId="12" fillId="0" borderId="0" applyFont="0" applyFill="0" applyBorder="0" applyAlignment="0" applyProtection="0"/>
    <xf numFmtId="9" fontId="12"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164" fontId="10" fillId="0" borderId="0" applyFont="0" applyFill="0" applyBorder="0" applyAlignment="0" applyProtection="0"/>
  </cellStyleXfs>
  <cellXfs count="191">
    <xf numFmtId="0" fontId="0" fillId="0" borderId="0" xfId="0"/>
    <xf numFmtId="0" fontId="0" fillId="0" borderId="5" xfId="0" applyBorder="1" applyAlignment="1">
      <alignment horizontal="center" wrapText="1"/>
    </xf>
    <xf numFmtId="0" fontId="0" fillId="0" borderId="6" xfId="0" applyBorder="1"/>
    <xf numFmtId="43" fontId="0" fillId="0" borderId="7" xfId="1" applyFont="1" applyBorder="1"/>
    <xf numFmtId="9" fontId="0" fillId="0" borderId="7" xfId="2" applyFont="1" applyBorder="1"/>
    <xf numFmtId="0" fontId="0" fillId="0" borderId="9" xfId="0" applyBorder="1"/>
    <xf numFmtId="0" fontId="9" fillId="0" borderId="0" xfId="0" applyFont="1"/>
    <xf numFmtId="0" fontId="0" fillId="0" borderId="14" xfId="0" applyBorder="1" applyAlignment="1">
      <alignment horizontal="center" wrapText="1"/>
    </xf>
    <xf numFmtId="0" fontId="0" fillId="0" borderId="0" xfId="0" applyAlignment="1">
      <alignment horizontal="center" wrapText="1"/>
    </xf>
    <xf numFmtId="0" fontId="0" fillId="0" borderId="10" xfId="0" applyBorder="1" applyAlignment="1">
      <alignment horizontal="center" wrapText="1"/>
    </xf>
    <xf numFmtId="0" fontId="0" fillId="0" borderId="2" xfId="0" applyBorder="1" applyAlignment="1">
      <alignment horizontal="center"/>
    </xf>
    <xf numFmtId="0" fontId="0" fillId="0" borderId="17" xfId="0" applyBorder="1" applyAlignment="1">
      <alignment horizontal="center" wrapText="1"/>
    </xf>
    <xf numFmtId="43" fontId="0" fillId="0" borderId="8" xfId="1" applyFont="1" applyBorder="1"/>
    <xf numFmtId="9" fontId="0" fillId="0" borderId="8" xfId="2" applyFont="1" applyBorder="1"/>
    <xf numFmtId="43" fontId="0" fillId="0" borderId="19" xfId="1" applyFont="1" applyBorder="1"/>
    <xf numFmtId="0" fontId="0" fillId="0" borderId="26" xfId="0" applyBorder="1"/>
    <xf numFmtId="0" fontId="0" fillId="0" borderId="7" xfId="0" applyBorder="1"/>
    <xf numFmtId="43" fontId="0" fillId="0" borderId="27" xfId="1" applyFont="1" applyBorder="1"/>
    <xf numFmtId="165" fontId="0" fillId="0" borderId="22" xfId="0" applyNumberFormat="1" applyBorder="1"/>
    <xf numFmtId="0" fontId="0" fillId="0" borderId="6" xfId="0" applyBorder="1" applyAlignment="1">
      <alignment wrapText="1"/>
    </xf>
    <xf numFmtId="0" fontId="0" fillId="2" borderId="5" xfId="0" applyFill="1" applyBorder="1"/>
    <xf numFmtId="0" fontId="0" fillId="0" borderId="16" xfId="0" quotePrefix="1" applyBorder="1" applyAlignment="1">
      <alignment horizontal="center" wrapText="1"/>
    </xf>
    <xf numFmtId="0" fontId="13" fillId="0" borderId="0" xfId="0" applyFont="1"/>
    <xf numFmtId="0" fontId="16" fillId="0" borderId="0" xfId="0" applyFont="1" applyAlignment="1">
      <alignment horizontal="left" vertical="center" indent="1"/>
    </xf>
    <xf numFmtId="4" fontId="15" fillId="0" borderId="0" xfId="0" applyNumberFormat="1" applyFont="1"/>
    <xf numFmtId="4" fontId="18" fillId="0" borderId="0" xfId="0" applyNumberFormat="1" applyFont="1" applyAlignment="1">
      <alignment vertical="center"/>
    </xf>
    <xf numFmtId="4" fontId="20" fillId="0" borderId="0" xfId="0" applyNumberFormat="1" applyFont="1" applyAlignment="1" applyProtection="1">
      <alignment horizontal="center" vertical="center" wrapText="1"/>
      <protection locked="0"/>
    </xf>
    <xf numFmtId="4" fontId="20" fillId="0" borderId="34" xfId="0" applyNumberFormat="1" applyFont="1" applyBorder="1" applyAlignment="1">
      <alignment horizontal="center" vertical="center"/>
    </xf>
    <xf numFmtId="4" fontId="20" fillId="0" borderId="0" xfId="0" applyNumberFormat="1" applyFont="1" applyAlignment="1">
      <alignment horizontal="center" vertical="center"/>
    </xf>
    <xf numFmtId="4" fontId="21" fillId="0" borderId="0" xfId="0" applyNumberFormat="1" applyFont="1" applyAlignment="1">
      <alignment horizontal="center" vertical="center"/>
    </xf>
    <xf numFmtId="4" fontId="21" fillId="0" borderId="0" xfId="0" applyNumberFormat="1" applyFont="1" applyAlignment="1">
      <alignment vertical="center" wrapText="1"/>
    </xf>
    <xf numFmtId="4" fontId="23" fillId="0" borderId="0" xfId="0" applyNumberFormat="1" applyFont="1" applyAlignment="1">
      <alignment vertical="center"/>
    </xf>
    <xf numFmtId="4" fontId="23" fillId="0" borderId="0" xfId="0" applyNumberFormat="1" applyFont="1" applyAlignment="1">
      <alignment horizontal="center" vertical="center"/>
    </xf>
    <xf numFmtId="4" fontId="15" fillId="0" borderId="0" xfId="0" applyNumberFormat="1" applyFont="1" applyAlignment="1">
      <alignment horizontal="center"/>
    </xf>
    <xf numFmtId="4" fontId="24" fillId="0" borderId="7" xfId="0" applyNumberFormat="1" applyFont="1" applyBorder="1"/>
    <xf numFmtId="4" fontId="20" fillId="0" borderId="7" xfId="0" applyNumberFormat="1" applyFont="1" applyBorder="1" applyAlignment="1">
      <alignment horizontal="center" vertical="top" wrapText="1"/>
    </xf>
    <xf numFmtId="4" fontId="21" fillId="0" borderId="7" xfId="0" applyNumberFormat="1" applyFont="1" applyBorder="1" applyAlignment="1">
      <alignment horizontal="center" vertical="top" wrapText="1"/>
    </xf>
    <xf numFmtId="4" fontId="30" fillId="0" borderId="0" xfId="0" applyNumberFormat="1" applyFont="1"/>
    <xf numFmtId="4" fontId="25" fillId="0" borderId="7" xfId="0" applyNumberFormat="1" applyFont="1" applyBorder="1" applyAlignment="1">
      <alignment horizontal="center" vertical="center"/>
    </xf>
    <xf numFmtId="4" fontId="24" fillId="0" borderId="7" xfId="0" applyNumberFormat="1" applyFont="1" applyBorder="1" applyAlignment="1">
      <alignment vertical="top"/>
    </xf>
    <xf numFmtId="4" fontId="24" fillId="0" borderId="7" xfId="0" applyNumberFormat="1" applyFont="1" applyBorder="1" applyAlignment="1">
      <alignment vertical="top" wrapText="1"/>
    </xf>
    <xf numFmtId="4" fontId="30" fillId="0" borderId="0" xfId="0" applyNumberFormat="1" applyFont="1" applyAlignment="1">
      <alignment horizontal="center"/>
    </xf>
    <xf numFmtId="0" fontId="15" fillId="0" borderId="0" xfId="0" applyFont="1"/>
    <xf numFmtId="0" fontId="39" fillId="0" borderId="0" xfId="0" applyFont="1"/>
    <xf numFmtId="0" fontId="40" fillId="0" borderId="0" xfId="0" applyFont="1"/>
    <xf numFmtId="0" fontId="41" fillId="0" borderId="0" xfId="0" applyFont="1"/>
    <xf numFmtId="166" fontId="0" fillId="0" borderId="7" xfId="1" applyNumberFormat="1" applyFont="1" applyBorder="1"/>
    <xf numFmtId="0" fontId="13" fillId="2" borderId="12" xfId="0" applyFont="1" applyFill="1" applyBorder="1"/>
    <xf numFmtId="0" fontId="13" fillId="3" borderId="5" xfId="0" applyFont="1" applyFill="1" applyBorder="1"/>
    <xf numFmtId="4" fontId="13" fillId="0" borderId="0" xfId="0" applyNumberFormat="1" applyFont="1"/>
    <xf numFmtId="0" fontId="13" fillId="2" borderId="20" xfId="0" applyFont="1" applyFill="1" applyBorder="1"/>
    <xf numFmtId="0" fontId="13" fillId="2" borderId="5" xfId="0" applyFont="1" applyFill="1" applyBorder="1"/>
    <xf numFmtId="165" fontId="13" fillId="3" borderId="5" xfId="0" applyNumberFormat="1" applyFont="1" applyFill="1" applyBorder="1"/>
    <xf numFmtId="165" fontId="13" fillId="3" borderId="23" xfId="0" applyNumberFormat="1" applyFont="1" applyFill="1" applyBorder="1"/>
    <xf numFmtId="43" fontId="0" fillId="0" borderId="7" xfId="1" applyFont="1" applyBorder="1" applyAlignment="1">
      <alignment horizontal="center"/>
    </xf>
    <xf numFmtId="165" fontId="13" fillId="0" borderId="0" xfId="0" applyNumberFormat="1" applyFont="1"/>
    <xf numFmtId="43" fontId="13" fillId="0" borderId="0" xfId="1" applyFont="1" applyFill="1" applyBorder="1"/>
    <xf numFmtId="0" fontId="0" fillId="0" borderId="28" xfId="0" applyBorder="1" applyAlignment="1">
      <alignment horizontal="center"/>
    </xf>
    <xf numFmtId="0" fontId="0" fillId="0" borderId="10" xfId="0" applyBorder="1"/>
    <xf numFmtId="0" fontId="0" fillId="0" borderId="38"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3" fillId="2" borderId="12" xfId="0" applyFont="1" applyFill="1" applyBorder="1" applyAlignment="1">
      <alignment wrapText="1"/>
    </xf>
    <xf numFmtId="4" fontId="25" fillId="4" borderId="7" xfId="0" applyNumberFormat="1" applyFont="1" applyFill="1" applyBorder="1" applyAlignment="1">
      <alignment horizontal="center" vertical="center"/>
    </xf>
    <xf numFmtId="4" fontId="24" fillId="4" borderId="7" xfId="0" applyNumberFormat="1" applyFont="1" applyFill="1" applyBorder="1" applyAlignment="1">
      <alignment vertical="top"/>
    </xf>
    <xf numFmtId="4" fontId="24" fillId="4" borderId="7" xfId="0" applyNumberFormat="1" applyFont="1" applyFill="1" applyBorder="1" applyAlignment="1">
      <alignment vertical="top" wrapText="1"/>
    </xf>
    <xf numFmtId="0" fontId="0" fillId="0" borderId="2" xfId="0" applyBorder="1" applyAlignment="1">
      <alignment horizontal="center" wrapText="1"/>
    </xf>
    <xf numFmtId="0" fontId="0" fillId="0" borderId="4" xfId="0" applyBorder="1" applyAlignment="1">
      <alignment horizontal="center" wrapText="1"/>
    </xf>
    <xf numFmtId="0" fontId="0" fillId="0" borderId="41" xfId="0" quotePrefix="1" applyBorder="1" applyAlignment="1">
      <alignment horizontal="center" wrapText="1"/>
    </xf>
    <xf numFmtId="0" fontId="0" fillId="0" borderId="16" xfId="0" applyBorder="1" applyAlignment="1">
      <alignment horizontal="center" wrapText="1"/>
    </xf>
    <xf numFmtId="0" fontId="42" fillId="0" borderId="5" xfId="0" applyFont="1" applyBorder="1" applyAlignment="1">
      <alignment horizontal="center" wrapText="1"/>
    </xf>
    <xf numFmtId="0" fontId="0" fillId="0" borderId="4" xfId="0" applyBorder="1" applyAlignment="1">
      <alignment wrapText="1"/>
    </xf>
    <xf numFmtId="0" fontId="13" fillId="0" borderId="28" xfId="0" applyFont="1" applyBorder="1" applyAlignment="1">
      <alignment horizontal="left" vertical="top" wrapText="1"/>
    </xf>
    <xf numFmtId="4" fontId="24" fillId="4" borderId="7" xfId="0" applyNumberFormat="1" applyFont="1" applyFill="1" applyBorder="1" applyAlignment="1">
      <alignment horizontal="right" vertical="center"/>
    </xf>
    <xf numFmtId="4" fontId="24" fillId="0" borderId="7" xfId="0" applyNumberFormat="1" applyFont="1" applyBorder="1" applyAlignment="1">
      <alignment horizontal="right" vertical="center"/>
    </xf>
    <xf numFmtId="4" fontId="10" fillId="4" borderId="7" xfId="0" applyNumberFormat="1" applyFont="1" applyFill="1" applyBorder="1" applyAlignment="1" applyProtection="1">
      <alignment horizontal="right" vertical="center"/>
      <protection locked="0"/>
    </xf>
    <xf numFmtId="4" fontId="10" fillId="0" borderId="7" xfId="0" applyNumberFormat="1" applyFont="1" applyBorder="1" applyAlignment="1">
      <alignment horizontal="right" vertical="center"/>
    </xf>
    <xf numFmtId="4" fontId="10" fillId="4" borderId="7" xfId="0" applyNumberFormat="1" applyFont="1" applyFill="1" applyBorder="1" applyAlignment="1">
      <alignment horizontal="right" vertical="center"/>
    </xf>
    <xf numFmtId="0" fontId="0" fillId="0" borderId="2" xfId="0" applyBorder="1" applyAlignment="1">
      <alignment horizontal="center" vertical="center" wrapText="1"/>
    </xf>
    <xf numFmtId="167" fontId="9" fillId="0" borderId="7" xfId="1" applyNumberFormat="1" applyFont="1" applyFill="1" applyBorder="1" applyAlignment="1">
      <alignment horizontal="left" vertical="center"/>
    </xf>
    <xf numFmtId="167" fontId="5" fillId="0" borderId="7" xfId="0" applyNumberFormat="1" applyFont="1" applyBorder="1" applyAlignment="1">
      <alignment horizontal="left" vertical="center" wrapText="1"/>
    </xf>
    <xf numFmtId="167" fontId="6" fillId="0" borderId="17" xfId="0" applyNumberFormat="1" applyFont="1" applyBorder="1" applyAlignment="1">
      <alignment horizontal="left" vertical="center" wrapText="1"/>
    </xf>
    <xf numFmtId="4" fontId="7" fillId="0" borderId="8" xfId="1" applyNumberFormat="1" applyFont="1" applyBorder="1" applyAlignment="1">
      <alignment horizontal="right" vertical="center"/>
    </xf>
    <xf numFmtId="167" fontId="0" fillId="0" borderId="25" xfId="0" applyNumberFormat="1" applyBorder="1" applyAlignment="1">
      <alignment horizontal="left" vertical="center"/>
    </xf>
    <xf numFmtId="0" fontId="0" fillId="0" borderId="22" xfId="0" applyBorder="1"/>
    <xf numFmtId="0" fontId="13" fillId="2" borderId="23" xfId="0" applyFont="1" applyFill="1" applyBorder="1"/>
    <xf numFmtId="0" fontId="0" fillId="0" borderId="6" xfId="0" applyBorder="1" applyAlignment="1">
      <alignment horizontal="left" vertical="center" wrapText="1"/>
    </xf>
    <xf numFmtId="0" fontId="0" fillId="0" borderId="1" xfId="0" applyBorder="1" applyAlignment="1">
      <alignment horizontal="left" vertical="center" wrapText="1"/>
    </xf>
    <xf numFmtId="0" fontId="0" fillId="0" borderId="2" xfId="0" applyBorder="1" applyAlignment="1">
      <alignment horizontal="left" vertical="center" wrapText="1"/>
    </xf>
    <xf numFmtId="49" fontId="0" fillId="0" borderId="6" xfId="0" applyNumberFormat="1" applyBorder="1" applyAlignment="1">
      <alignment horizontal="left"/>
    </xf>
    <xf numFmtId="0" fontId="9" fillId="0" borderId="7" xfId="0" applyFont="1" applyBorder="1" applyAlignment="1">
      <alignment horizontal="left"/>
    </xf>
    <xf numFmtId="0" fontId="4" fillId="0" borderId="6" xfId="0" applyFont="1" applyBorder="1" applyAlignment="1">
      <alignment horizontal="left" vertical="center"/>
    </xf>
    <xf numFmtId="0" fontId="13" fillId="0" borderId="0" xfId="0" applyFont="1" applyAlignment="1">
      <alignment vertical="center"/>
    </xf>
    <xf numFmtId="0" fontId="0" fillId="0" borderId="0" xfId="0" applyAlignment="1">
      <alignment vertical="center"/>
    </xf>
    <xf numFmtId="0" fontId="15" fillId="0" borderId="0" xfId="0" applyFont="1" applyAlignment="1">
      <alignment vertical="center"/>
    </xf>
    <xf numFmtId="0" fontId="0" fillId="0" borderId="14" xfId="0" applyBorder="1" applyAlignment="1">
      <alignment horizontal="center" vertical="center" wrapText="1"/>
    </xf>
    <xf numFmtId="0" fontId="0" fillId="0" borderId="10" xfId="0" applyBorder="1" applyAlignment="1">
      <alignment horizontal="center" vertical="center" wrapText="1"/>
    </xf>
    <xf numFmtId="0" fontId="0" fillId="0" borderId="41" xfId="0" quotePrefix="1" applyBorder="1" applyAlignment="1">
      <alignment horizontal="center" vertical="center" wrapText="1"/>
    </xf>
    <xf numFmtId="0" fontId="0" fillId="0" borderId="26" xfId="0" applyBorder="1" applyAlignment="1">
      <alignment vertical="center"/>
    </xf>
    <xf numFmtId="0" fontId="0" fillId="0" borderId="7" xfId="0" applyBorder="1" applyAlignment="1">
      <alignment vertical="center"/>
    </xf>
    <xf numFmtId="165" fontId="0" fillId="0" borderId="7" xfId="0" applyNumberFormat="1" applyBorder="1" applyAlignment="1">
      <alignment vertical="center"/>
    </xf>
    <xf numFmtId="43" fontId="0" fillId="0" borderId="7" xfId="1" applyFont="1" applyBorder="1" applyAlignment="1">
      <alignment vertical="center"/>
    </xf>
    <xf numFmtId="9" fontId="0" fillId="0" borderId="7" xfId="2" applyFont="1" applyBorder="1" applyAlignment="1">
      <alignment vertical="center"/>
    </xf>
    <xf numFmtId="43" fontId="0" fillId="0" borderId="19" xfId="1" applyFont="1" applyBorder="1" applyAlignment="1">
      <alignment vertical="center"/>
    </xf>
    <xf numFmtId="0" fontId="13" fillId="2" borderId="20" xfId="0" applyFont="1" applyFill="1" applyBorder="1" applyAlignment="1">
      <alignment vertical="center"/>
    </xf>
    <xf numFmtId="0" fontId="13" fillId="2" borderId="5" xfId="0" applyFont="1" applyFill="1" applyBorder="1" applyAlignment="1">
      <alignment vertical="center"/>
    </xf>
    <xf numFmtId="165" fontId="13" fillId="3" borderId="5" xfId="0" applyNumberFormat="1" applyFont="1" applyFill="1" applyBorder="1" applyAlignment="1">
      <alignment vertical="center"/>
    </xf>
    <xf numFmtId="49" fontId="9" fillId="0" borderId="7" xfId="0" applyNumberFormat="1" applyFont="1" applyBorder="1" applyAlignment="1">
      <alignment horizontal="right" vertical="center" wrapText="1"/>
    </xf>
    <xf numFmtId="0" fontId="0" fillId="0" borderId="17" xfId="0" applyBorder="1" applyAlignment="1">
      <alignment horizontal="left" vertical="center" wrapText="1"/>
    </xf>
    <xf numFmtId="0" fontId="8" fillId="0" borderId="17" xfId="0" applyFont="1" applyBorder="1" applyAlignment="1">
      <alignment horizontal="left" vertical="center" wrapText="1"/>
    </xf>
    <xf numFmtId="1" fontId="3" fillId="0" borderId="7" xfId="2" applyNumberFormat="1" applyFont="1" applyBorder="1" applyAlignment="1">
      <alignment horizontal="right" vertical="center"/>
    </xf>
    <xf numFmtId="1" fontId="8" fillId="0" borderId="17" xfId="2" applyNumberFormat="1" applyFont="1" applyFill="1" applyBorder="1" applyAlignment="1">
      <alignment horizontal="right" vertical="center"/>
    </xf>
    <xf numFmtId="4" fontId="3" fillId="0" borderId="19" xfId="1" applyNumberFormat="1" applyFont="1" applyBorder="1" applyAlignment="1">
      <alignment horizontal="right" vertical="center"/>
    </xf>
    <xf numFmtId="0" fontId="0" fillId="0" borderId="2" xfId="0" applyBorder="1" applyAlignment="1">
      <alignment horizontal="right" vertical="center" wrapText="1"/>
    </xf>
    <xf numFmtId="4" fontId="0" fillId="0" borderId="2" xfId="0" applyNumberFormat="1" applyBorder="1" applyAlignment="1">
      <alignment horizontal="right" vertical="center" wrapText="1"/>
    </xf>
    <xf numFmtId="4" fontId="0" fillId="0" borderId="17" xfId="0" applyNumberFormat="1" applyBorder="1" applyAlignment="1">
      <alignment horizontal="right" vertical="center" wrapText="1"/>
    </xf>
    <xf numFmtId="4" fontId="0" fillId="0" borderId="43" xfId="0" applyNumberFormat="1" applyBorder="1" applyAlignment="1">
      <alignment horizontal="right" vertical="center" wrapText="1"/>
    </xf>
    <xf numFmtId="4" fontId="9" fillId="0" borderId="7" xfId="0" applyNumberFormat="1" applyFont="1" applyBorder="1" applyAlignment="1">
      <alignment horizontal="left" vertical="center" wrapText="1"/>
    </xf>
    <xf numFmtId="4" fontId="9" fillId="0" borderId="7" xfId="0" applyNumberFormat="1" applyFont="1" applyBorder="1" applyAlignment="1">
      <alignment horizontal="right" vertical="center" wrapText="1"/>
    </xf>
    <xf numFmtId="4" fontId="9" fillId="0" borderId="27" xfId="0" applyNumberFormat="1" applyFont="1" applyBorder="1" applyAlignment="1">
      <alignment horizontal="right" vertical="center" wrapText="1"/>
    </xf>
    <xf numFmtId="0" fontId="15" fillId="0" borderId="7" xfId="0" applyFont="1" applyBorder="1" applyAlignment="1">
      <alignment horizontal="right" vertical="center" wrapText="1"/>
    </xf>
    <xf numFmtId="4" fontId="2" fillId="0" borderId="22" xfId="0" applyNumberFormat="1" applyFont="1" applyBorder="1" applyAlignment="1">
      <alignment horizontal="left" vertical="center" wrapText="1"/>
    </xf>
    <xf numFmtId="4" fontId="7" fillId="0" borderId="7" xfId="0" applyNumberFormat="1" applyFont="1" applyBorder="1" applyAlignment="1">
      <alignment horizontal="right" vertical="center" wrapText="1"/>
    </xf>
    <xf numFmtId="3" fontId="3" fillId="0" borderId="7" xfId="0" applyNumberFormat="1" applyFont="1" applyBorder="1" applyAlignment="1">
      <alignment horizontal="right" vertical="center" wrapText="1"/>
    </xf>
    <xf numFmtId="4" fontId="8" fillId="0" borderId="17" xfId="0" applyNumberFormat="1" applyFont="1" applyBorder="1" applyAlignment="1">
      <alignment horizontal="right" vertical="center" wrapText="1"/>
    </xf>
    <xf numFmtId="4" fontId="0" fillId="0" borderId="17" xfId="1" applyNumberFormat="1" applyFont="1" applyBorder="1" applyAlignment="1">
      <alignment horizontal="right" vertical="center" wrapText="1"/>
    </xf>
    <xf numFmtId="4" fontId="9" fillId="0" borderId="43" xfId="0" applyNumberFormat="1" applyFont="1" applyBorder="1" applyAlignment="1">
      <alignment horizontal="right" vertical="center" wrapText="1"/>
    </xf>
    <xf numFmtId="4" fontId="13" fillId="2" borderId="5" xfId="1" applyNumberFormat="1" applyFont="1" applyFill="1" applyBorder="1" applyAlignment="1">
      <alignment horizontal="right" vertical="center"/>
    </xf>
    <xf numFmtId="4" fontId="13" fillId="3" borderId="5" xfId="1" applyNumberFormat="1" applyFont="1" applyFill="1" applyBorder="1" applyAlignment="1">
      <alignment horizontal="right" vertical="center"/>
    </xf>
    <xf numFmtId="4" fontId="13" fillId="3" borderId="5" xfId="2" applyNumberFormat="1" applyFont="1" applyFill="1" applyBorder="1" applyAlignment="1">
      <alignment horizontal="right" vertical="center"/>
    </xf>
    <xf numFmtId="4" fontId="13" fillId="2" borderId="16" xfId="1" applyNumberFormat="1" applyFont="1" applyFill="1" applyBorder="1" applyAlignment="1">
      <alignment horizontal="right" vertical="center"/>
    </xf>
    <xf numFmtId="4" fontId="13" fillId="2" borderId="5" xfId="1" applyNumberFormat="1" applyFont="1" applyFill="1" applyBorder="1" applyAlignment="1">
      <alignment vertical="center"/>
    </xf>
    <xf numFmtId="4" fontId="13" fillId="3" borderId="5" xfId="0" applyNumberFormat="1" applyFont="1" applyFill="1" applyBorder="1" applyAlignment="1">
      <alignment vertical="center"/>
    </xf>
    <xf numFmtId="4" fontId="13" fillId="2" borderId="16" xfId="1" applyNumberFormat="1" applyFont="1" applyFill="1" applyBorder="1" applyAlignment="1">
      <alignment vertical="center"/>
    </xf>
    <xf numFmtId="0" fontId="0" fillId="0" borderId="8" xfId="0" applyBorder="1" applyAlignment="1">
      <alignment horizontal="left" vertical="center"/>
    </xf>
    <xf numFmtId="0" fontId="0" fillId="0" borderId="18" xfId="0" applyBorder="1" applyAlignment="1">
      <alignment horizontal="left" vertical="center"/>
    </xf>
    <xf numFmtId="4" fontId="0" fillId="0" borderId="7" xfId="0" applyNumberFormat="1" applyBorder="1" applyAlignment="1">
      <alignment horizontal="right" vertical="center" wrapText="1"/>
    </xf>
    <xf numFmtId="4" fontId="9" fillId="0" borderId="7" xfId="1" applyNumberFormat="1" applyFont="1" applyFill="1" applyBorder="1" applyAlignment="1">
      <alignment horizontal="right" vertical="center"/>
    </xf>
    <xf numFmtId="4" fontId="7" fillId="0" borderId="27" xfId="1" applyNumberFormat="1" applyFont="1" applyBorder="1" applyAlignment="1">
      <alignment horizontal="right" vertical="center"/>
    </xf>
    <xf numFmtId="4" fontId="10" fillId="0" borderId="7" xfId="0" applyNumberFormat="1" applyFont="1" applyBorder="1" applyAlignment="1">
      <alignment vertical="top"/>
    </xf>
    <xf numFmtId="0" fontId="0" fillId="0" borderId="0" xfId="0" applyAlignment="1">
      <alignment horizontal="left" wrapText="1"/>
    </xf>
    <xf numFmtId="4" fontId="34" fillId="0" borderId="0" xfId="0" applyNumberFormat="1" applyFont="1" applyAlignment="1">
      <alignment horizontal="left" wrapText="1"/>
    </xf>
    <xf numFmtId="0" fontId="10" fillId="0" borderId="32" xfId="0" applyFont="1" applyBorder="1" applyAlignment="1">
      <alignment vertical="top" wrapText="1"/>
    </xf>
    <xf numFmtId="0" fontId="24" fillId="0" borderId="32" xfId="0" applyFont="1" applyBorder="1" applyAlignment="1">
      <alignment vertical="top"/>
    </xf>
    <xf numFmtId="0" fontId="24" fillId="0" borderId="22" xfId="0" applyFont="1" applyBorder="1" applyAlignment="1">
      <alignment vertical="top"/>
    </xf>
    <xf numFmtId="4" fontId="24" fillId="0" borderId="31" xfId="0" applyNumberFormat="1" applyFont="1" applyBorder="1" applyAlignment="1">
      <alignment vertical="top" wrapText="1"/>
    </xf>
    <xf numFmtId="4" fontId="24" fillId="0" borderId="32" xfId="0" applyNumberFormat="1" applyFont="1" applyBorder="1" applyAlignment="1">
      <alignment vertical="top" wrapText="1"/>
    </xf>
    <xf numFmtId="0" fontId="15" fillId="0" borderId="32" xfId="0" applyFont="1" applyBorder="1" applyAlignment="1">
      <alignment vertical="top"/>
    </xf>
    <xf numFmtId="0" fontId="15" fillId="0" borderId="22" xfId="0" applyFont="1" applyBorder="1" applyAlignment="1">
      <alignment vertical="top"/>
    </xf>
    <xf numFmtId="4" fontId="30" fillId="0" borderId="34" xfId="0" applyNumberFormat="1" applyFont="1" applyBorder="1"/>
    <xf numFmtId="4" fontId="10" fillId="0" borderId="31" xfId="0" applyNumberFormat="1" applyFont="1" applyBorder="1" applyAlignment="1">
      <alignment vertical="top" wrapText="1"/>
    </xf>
    <xf numFmtId="0" fontId="15" fillId="0" borderId="22" xfId="0" applyFont="1" applyBorder="1" applyAlignment="1">
      <alignment vertical="top" wrapText="1"/>
    </xf>
    <xf numFmtId="4" fontId="20" fillId="0" borderId="7" xfId="0" applyNumberFormat="1" applyFont="1" applyBorder="1" applyAlignment="1">
      <alignment vertical="top" wrapText="1"/>
    </xf>
    <xf numFmtId="0" fontId="26" fillId="0" borderId="7" xfId="0" applyFont="1" applyBorder="1" applyAlignment="1">
      <alignment vertical="top" wrapText="1"/>
    </xf>
    <xf numFmtId="4" fontId="10" fillId="0" borderId="31" xfId="0" applyNumberFormat="1" applyFont="1" applyBorder="1" applyAlignment="1">
      <alignment horizontal="left" vertical="top" wrapText="1"/>
    </xf>
    <xf numFmtId="4" fontId="24" fillId="0" borderId="32" xfId="0" applyNumberFormat="1" applyFont="1" applyBorder="1" applyAlignment="1">
      <alignment horizontal="left" vertical="top" wrapText="1"/>
    </xf>
    <xf numFmtId="4" fontId="24" fillId="0" borderId="22" xfId="0" applyNumberFormat="1" applyFont="1" applyBorder="1" applyAlignment="1">
      <alignment horizontal="left" vertical="top" wrapText="1"/>
    </xf>
    <xf numFmtId="4" fontId="24" fillId="0" borderId="7" xfId="0" applyNumberFormat="1" applyFont="1" applyBorder="1" applyAlignment="1">
      <alignment horizontal="left" vertical="top" wrapText="1"/>
    </xf>
    <xf numFmtId="4" fontId="20" fillId="0" borderId="7" xfId="0" applyNumberFormat="1" applyFont="1" applyBorder="1" applyAlignment="1">
      <alignment horizontal="left" vertical="center" wrapText="1"/>
    </xf>
    <xf numFmtId="4" fontId="10" fillId="0" borderId="7" xfId="0" applyNumberFormat="1" applyFont="1" applyBorder="1" applyAlignment="1">
      <alignment horizontal="left" vertical="top" wrapText="1"/>
    </xf>
    <xf numFmtId="4" fontId="18" fillId="0" borderId="0" xfId="0" applyNumberFormat="1" applyFont="1" applyAlignment="1">
      <alignment vertical="center" wrapText="1"/>
    </xf>
    <xf numFmtId="4" fontId="19" fillId="0" borderId="0" xfId="0" applyNumberFormat="1" applyFont="1"/>
    <xf numFmtId="4" fontId="20" fillId="0" borderId="31" xfId="0" applyNumberFormat="1" applyFont="1" applyBorder="1" applyAlignment="1">
      <alignment horizontal="left" vertical="center" wrapText="1"/>
    </xf>
    <xf numFmtId="4" fontId="20" fillId="0" borderId="32" xfId="0" applyNumberFormat="1" applyFont="1" applyBorder="1" applyAlignment="1">
      <alignment horizontal="left" vertical="center" wrapText="1"/>
    </xf>
    <xf numFmtId="4" fontId="20" fillId="0" borderId="22" xfId="0" applyNumberFormat="1" applyFont="1" applyBorder="1" applyAlignment="1">
      <alignment horizontal="left" vertical="center" wrapText="1"/>
    </xf>
    <xf numFmtId="4" fontId="20" fillId="0" borderId="34" xfId="0" applyNumberFormat="1" applyFont="1" applyBorder="1" applyAlignment="1" applyProtection="1">
      <alignment horizontal="left" vertical="center" wrapText="1"/>
      <protection locked="0"/>
    </xf>
    <xf numFmtId="0" fontId="0" fillId="0" borderId="31" xfId="0" applyBorder="1" applyAlignment="1">
      <alignment horizontal="center" wrapText="1"/>
    </xf>
    <xf numFmtId="0" fontId="0" fillId="0" borderId="32" xfId="0" applyBorder="1" applyAlignment="1">
      <alignment horizontal="center" wrapText="1"/>
    </xf>
    <xf numFmtId="0" fontId="0" fillId="0" borderId="33" xfId="0" applyBorder="1" applyAlignment="1">
      <alignment horizontal="center" wrapText="1"/>
    </xf>
    <xf numFmtId="0" fontId="0" fillId="2" borderId="35" xfId="0" applyFill="1" applyBorder="1" applyAlignment="1">
      <alignment horizontal="center"/>
    </xf>
    <xf numFmtId="0" fontId="0" fillId="2" borderId="36" xfId="0" applyFill="1" applyBorder="1" applyAlignment="1">
      <alignment horizontal="center"/>
    </xf>
    <xf numFmtId="0" fontId="0" fillId="2" borderId="37" xfId="0" applyFill="1" applyBorder="1" applyAlignment="1">
      <alignment horizontal="center"/>
    </xf>
    <xf numFmtId="0" fontId="0" fillId="0" borderId="1" xfId="0" applyBorder="1" applyAlignment="1">
      <alignment horizontal="center" wrapText="1"/>
    </xf>
    <xf numFmtId="0" fontId="0" fillId="0" borderId="21" xfId="0" applyBorder="1" applyAlignment="1">
      <alignment horizontal="center" wrapText="1"/>
    </xf>
    <xf numFmtId="0" fontId="0" fillId="0" borderId="3" xfId="0" applyBorder="1" applyAlignment="1">
      <alignment horizontal="center" wrapText="1"/>
    </xf>
    <xf numFmtId="0" fontId="0" fillId="0" borderId="2" xfId="0" applyBorder="1" applyAlignment="1">
      <alignment horizontal="center" wrapText="1"/>
    </xf>
    <xf numFmtId="0" fontId="0" fillId="0" borderId="4" xfId="0" applyBorder="1" applyAlignment="1">
      <alignment horizontal="center" wrapText="1"/>
    </xf>
    <xf numFmtId="0" fontId="0" fillId="0" borderId="13" xfId="0" applyBorder="1" applyAlignment="1">
      <alignment horizontal="center" wrapText="1"/>
    </xf>
    <xf numFmtId="0" fontId="0" fillId="0" borderId="15" xfId="0" applyBorder="1" applyAlignment="1">
      <alignment horizont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11" xfId="0"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13" xfId="0" applyBorder="1" applyAlignment="1">
      <alignment horizontal="center" vertical="center" wrapText="1"/>
    </xf>
    <xf numFmtId="0" fontId="0" fillId="0" borderId="42" xfId="0" applyBorder="1" applyAlignment="1">
      <alignment horizontal="center" vertical="center" wrapText="1"/>
    </xf>
    <xf numFmtId="0" fontId="0" fillId="0" borderId="24" xfId="0" applyBorder="1" applyAlignment="1">
      <alignment horizontal="center" wrapText="1"/>
    </xf>
    <xf numFmtId="0" fontId="0" fillId="0" borderId="29" xfId="0" applyBorder="1" applyAlignment="1">
      <alignment horizontal="center" wrapText="1"/>
    </xf>
    <xf numFmtId="0" fontId="0" fillId="0" borderId="30" xfId="0" applyBorder="1" applyAlignment="1">
      <alignment horizontal="center" wrapText="1"/>
    </xf>
    <xf numFmtId="0" fontId="0" fillId="0" borderId="8" xfId="0" applyBorder="1" applyAlignment="1">
      <alignment horizontal="center" vertical="center" wrapText="1"/>
    </xf>
    <xf numFmtId="0" fontId="0" fillId="0" borderId="8" xfId="0" applyBorder="1" applyAlignment="1">
      <alignment horizontal="center" wrapText="1"/>
    </xf>
  </cellXfs>
  <cellStyles count="8">
    <cellStyle name="Comma" xfId="1" builtinId="3"/>
    <cellStyle name="Comma 2" xfId="7" xr:uid="{00000000-0005-0000-0000-000035000000}"/>
    <cellStyle name="Normal" xfId="0" builtinId="0"/>
    <cellStyle name="Normal 2" xfId="4" xr:uid="{00000000-0005-0000-0000-000021000000}"/>
    <cellStyle name="Normal 3" xfId="5" xr:uid="{00000000-0005-0000-0000-000026000000}"/>
    <cellStyle name="Normal 4" xfId="3" xr:uid="{00000000-0005-0000-0000-000016000000}"/>
    <cellStyle name="Percent" xfId="2" builtinId="5"/>
    <cellStyle name="Percent 2" xfId="6" xr:uid="{00000000-0005-0000-0000-00002E000000}"/>
  </cellStyles>
  <dxfs count="1">
    <dxf>
      <border>
        <left style="thin">
          <color auto="1"/>
        </left>
        <right style="thin">
          <color auto="1"/>
        </right>
        <top style="thin">
          <color auto="1"/>
        </top>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12"/>
  <sheetViews>
    <sheetView topLeftCell="A15" workbookViewId="0">
      <selection activeCell="E21" sqref="E21"/>
    </sheetView>
  </sheetViews>
  <sheetFormatPr defaultRowHeight="15"/>
  <cols>
    <col min="1" max="1" width="3.85546875" customWidth="1"/>
  </cols>
  <sheetData>
    <row r="1" spans="1:15">
      <c r="A1" s="22" t="s">
        <v>0</v>
      </c>
    </row>
    <row r="3" spans="1:15">
      <c r="A3" t="s">
        <v>1</v>
      </c>
      <c r="B3" s="42" t="s">
        <v>114</v>
      </c>
    </row>
    <row r="4" spans="1:15" ht="31.5" customHeight="1">
      <c r="A4" t="s">
        <v>2</v>
      </c>
      <c r="B4" s="140" t="s">
        <v>3</v>
      </c>
      <c r="C4" s="140"/>
      <c r="D4" s="140"/>
      <c r="E4" s="140"/>
      <c r="F4" s="140"/>
      <c r="G4" s="140"/>
      <c r="H4" s="140"/>
      <c r="I4" s="140"/>
      <c r="J4" s="140"/>
      <c r="K4" s="140"/>
      <c r="L4" s="140"/>
      <c r="M4" s="140"/>
      <c r="N4" s="140"/>
      <c r="O4" s="140"/>
    </row>
    <row r="5" spans="1:15">
      <c r="A5" t="s">
        <v>4</v>
      </c>
      <c r="B5" t="s">
        <v>5</v>
      </c>
    </row>
    <row r="6" spans="1:15">
      <c r="B6" t="s">
        <v>6</v>
      </c>
    </row>
    <row r="7" spans="1:15">
      <c r="B7" t="s">
        <v>7</v>
      </c>
    </row>
    <row r="8" spans="1:15">
      <c r="B8" t="s">
        <v>8</v>
      </c>
    </row>
    <row r="9" spans="1:15" ht="49.5" customHeight="1">
      <c r="A9" t="s">
        <v>9</v>
      </c>
      <c r="B9" s="140" t="s">
        <v>115</v>
      </c>
      <c r="C9" s="140"/>
      <c r="D9" s="140"/>
      <c r="E9" s="140"/>
      <c r="F9" s="140"/>
      <c r="G9" s="140"/>
      <c r="H9" s="140"/>
      <c r="I9" s="140"/>
      <c r="J9" s="140"/>
      <c r="K9" s="140"/>
      <c r="L9" s="140"/>
      <c r="M9" s="140"/>
      <c r="N9" s="140"/>
      <c r="O9" s="140"/>
    </row>
    <row r="10" spans="1:15">
      <c r="A10" t="s">
        <v>10</v>
      </c>
      <c r="B10" t="s">
        <v>116</v>
      </c>
    </row>
    <row r="11" spans="1:15">
      <c r="A11" t="s">
        <v>11</v>
      </c>
      <c r="B11" t="s">
        <v>12</v>
      </c>
    </row>
    <row r="12" spans="1:15">
      <c r="A12" t="s">
        <v>13</v>
      </c>
      <c r="B12" t="s">
        <v>14</v>
      </c>
    </row>
  </sheetData>
  <mergeCells count="2">
    <mergeCell ref="B4:O4"/>
    <mergeCell ref="B9:O9"/>
  </mergeCells>
  <pageMargins left="0.70866141732283505" right="0.70866141732283505" top="0.74803149606299202" bottom="0.74803149606299202" header="0.31496062992126" footer="0.31496062992126"/>
  <pageSetup paperSize="9" scale="99"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26"/>
  <sheetViews>
    <sheetView tabSelected="1" topLeftCell="A10" zoomScaleNormal="100" workbookViewId="0">
      <selection activeCell="K17" sqref="K17"/>
    </sheetView>
  </sheetViews>
  <sheetFormatPr defaultColWidth="9" defaultRowHeight="15"/>
  <cols>
    <col min="1" max="1" width="4.42578125" style="24" customWidth="1"/>
    <col min="2" max="2" width="41" style="24" customWidth="1"/>
    <col min="3" max="3" width="13.5703125" style="24" customWidth="1"/>
    <col min="4" max="4" width="20.140625" style="33" customWidth="1"/>
    <col min="5" max="8" width="14.7109375" style="33" customWidth="1"/>
    <col min="9" max="9" width="7.42578125" style="24" customWidth="1"/>
    <col min="10" max="16384" width="9" style="24"/>
  </cols>
  <sheetData>
    <row r="1" spans="1:14" ht="15.75">
      <c r="A1" s="160" t="s">
        <v>96</v>
      </c>
      <c r="B1" s="161"/>
      <c r="C1" s="161"/>
      <c r="D1" s="161"/>
      <c r="E1" s="161"/>
      <c r="F1" s="161"/>
      <c r="G1" s="161"/>
      <c r="H1" s="161"/>
    </row>
    <row r="2" spans="1:14" ht="14.25" customHeight="1">
      <c r="A2" s="25" t="s">
        <v>15</v>
      </c>
      <c r="B2" s="26"/>
      <c r="C2" s="165" t="s">
        <v>159</v>
      </c>
      <c r="D2" s="165"/>
      <c r="E2" s="27"/>
      <c r="F2" s="27"/>
      <c r="G2" s="28"/>
      <c r="H2" s="29"/>
    </row>
    <row r="3" spans="1:14" ht="16.5" customHeight="1">
      <c r="A3" s="30"/>
      <c r="B3" s="31"/>
      <c r="C3" s="31"/>
      <c r="D3" s="32"/>
      <c r="E3" s="32"/>
      <c r="F3" s="32"/>
      <c r="G3" s="32"/>
    </row>
    <row r="4" spans="1:14" ht="18.75" customHeight="1">
      <c r="A4" s="158" t="s">
        <v>16</v>
      </c>
      <c r="B4" s="158"/>
      <c r="C4" s="162" t="s">
        <v>131</v>
      </c>
      <c r="D4" s="163"/>
      <c r="E4" s="163"/>
      <c r="F4" s="163"/>
      <c r="G4" s="163"/>
      <c r="H4" s="164"/>
    </row>
    <row r="5" spans="1:14" ht="78.599999999999994" customHeight="1">
      <c r="A5" s="159" t="s">
        <v>163</v>
      </c>
      <c r="B5" s="157"/>
      <c r="C5" s="154" t="s">
        <v>165</v>
      </c>
      <c r="D5" s="155"/>
      <c r="E5" s="155"/>
      <c r="F5" s="155"/>
      <c r="G5" s="155"/>
      <c r="H5" s="156"/>
    </row>
    <row r="6" spans="1:14" ht="18" customHeight="1">
      <c r="A6" s="152" t="s">
        <v>17</v>
      </c>
      <c r="B6" s="153"/>
      <c r="C6" s="153"/>
      <c r="D6" s="153"/>
      <c r="E6" s="153"/>
      <c r="F6" s="153"/>
      <c r="G6" s="153"/>
      <c r="H6" s="153"/>
    </row>
    <row r="7" spans="1:14" ht="91.9" customHeight="1">
      <c r="A7" s="150" t="s">
        <v>113</v>
      </c>
      <c r="B7" s="151"/>
      <c r="C7" s="154" t="s">
        <v>164</v>
      </c>
      <c r="D7" s="155"/>
      <c r="E7" s="155"/>
      <c r="F7" s="155"/>
      <c r="G7" s="155"/>
      <c r="H7" s="156"/>
    </row>
    <row r="8" spans="1:14" ht="61.5">
      <c r="A8" s="34"/>
      <c r="B8" s="35" t="s">
        <v>18</v>
      </c>
      <c r="C8" s="36" t="s">
        <v>19</v>
      </c>
      <c r="D8" s="36" t="s">
        <v>97</v>
      </c>
      <c r="E8" s="36" t="s">
        <v>98</v>
      </c>
      <c r="F8" s="36" t="s">
        <v>99</v>
      </c>
      <c r="G8" s="36" t="s">
        <v>100</v>
      </c>
      <c r="H8" s="36" t="s">
        <v>101</v>
      </c>
      <c r="I8" s="37"/>
      <c r="J8" s="37"/>
      <c r="K8" s="37"/>
      <c r="L8" s="37"/>
      <c r="M8" s="37"/>
      <c r="N8" s="37"/>
    </row>
    <row r="9" spans="1:14">
      <c r="A9" s="63" t="s">
        <v>102</v>
      </c>
      <c r="B9" s="64" t="s">
        <v>92</v>
      </c>
      <c r="C9" s="73" t="s">
        <v>20</v>
      </c>
      <c r="D9" s="73" t="s">
        <v>21</v>
      </c>
      <c r="E9" s="73" t="s">
        <v>22</v>
      </c>
      <c r="F9" s="73" t="s">
        <v>23</v>
      </c>
      <c r="G9" s="73" t="e">
        <f>SUM(E9+F9)</f>
        <v>#VALUE!</v>
      </c>
      <c r="H9" s="73" t="e">
        <f>SUM(D9-G9)</f>
        <v>#VALUE!</v>
      </c>
      <c r="I9" s="37"/>
      <c r="J9" s="37"/>
      <c r="K9" s="37"/>
      <c r="L9" s="37"/>
      <c r="M9" s="37"/>
      <c r="N9" s="37"/>
    </row>
    <row r="10" spans="1:14">
      <c r="A10" s="63" t="s">
        <v>103</v>
      </c>
      <c r="B10" s="64" t="s">
        <v>93</v>
      </c>
      <c r="C10" s="77" t="s">
        <v>20</v>
      </c>
      <c r="D10" s="73" t="s">
        <v>21</v>
      </c>
      <c r="E10" s="73" t="s">
        <v>22</v>
      </c>
      <c r="F10" s="73" t="s">
        <v>23</v>
      </c>
      <c r="G10" s="73" t="e">
        <f t="shared" ref="G10:G19" si="0">SUM(E10+F10)</f>
        <v>#VALUE!</v>
      </c>
      <c r="H10" s="73" t="e">
        <f t="shared" ref="H10:H11" si="1">SUM(D10-G10)</f>
        <v>#VALUE!</v>
      </c>
      <c r="I10" s="37"/>
      <c r="J10" s="37"/>
      <c r="K10" s="37"/>
      <c r="L10" s="37"/>
      <c r="M10" s="37"/>
      <c r="N10" s="37"/>
    </row>
    <row r="11" spans="1:14">
      <c r="A11" s="63" t="s">
        <v>104</v>
      </c>
      <c r="B11" s="65" t="s">
        <v>94</v>
      </c>
      <c r="C11" s="77" t="s">
        <v>155</v>
      </c>
      <c r="D11" s="77" t="s">
        <v>156</v>
      </c>
      <c r="E11" s="77" t="s">
        <v>158</v>
      </c>
      <c r="F11" s="77" t="s">
        <v>157</v>
      </c>
      <c r="G11" s="73" t="e">
        <f t="shared" si="0"/>
        <v>#VALUE!</v>
      </c>
      <c r="H11" s="73" t="e">
        <f t="shared" si="1"/>
        <v>#VALUE!</v>
      </c>
      <c r="I11" s="37"/>
      <c r="J11" s="37"/>
      <c r="K11" s="37"/>
      <c r="L11" s="37"/>
      <c r="M11" s="37"/>
      <c r="N11" s="37"/>
    </row>
    <row r="12" spans="1:14">
      <c r="A12" s="63" t="s">
        <v>24</v>
      </c>
      <c r="B12" s="64" t="s">
        <v>95</v>
      </c>
      <c r="C12" s="73" t="s">
        <v>20</v>
      </c>
      <c r="D12" s="73" t="s">
        <v>21</v>
      </c>
      <c r="E12" s="73" t="s">
        <v>22</v>
      </c>
      <c r="F12" s="77" t="s">
        <v>23</v>
      </c>
      <c r="G12" s="73" t="e">
        <f t="shared" si="0"/>
        <v>#VALUE!</v>
      </c>
      <c r="H12" s="73" t="e">
        <f>SUM(D12-G12)</f>
        <v>#VALUE!</v>
      </c>
      <c r="I12" s="37"/>
      <c r="J12" s="37"/>
      <c r="K12" s="37"/>
      <c r="L12" s="37"/>
      <c r="M12" s="37"/>
      <c r="N12" s="37"/>
    </row>
    <row r="13" spans="1:14">
      <c r="A13" s="63" t="s">
        <v>25</v>
      </c>
      <c r="B13" s="64" t="s">
        <v>105</v>
      </c>
      <c r="C13" s="73" t="s">
        <v>20</v>
      </c>
      <c r="D13" s="73" t="s">
        <v>21</v>
      </c>
      <c r="E13" s="73" t="s">
        <v>22</v>
      </c>
      <c r="F13" s="73" t="s">
        <v>23</v>
      </c>
      <c r="G13" s="73" t="e">
        <f t="shared" si="0"/>
        <v>#VALUE!</v>
      </c>
      <c r="H13" s="73" t="e">
        <f t="shared" ref="H13:H19" si="2">SUM(D13-G13)</f>
        <v>#VALUE!</v>
      </c>
      <c r="I13" s="37"/>
      <c r="J13" s="37"/>
      <c r="K13" s="37"/>
      <c r="L13" s="37"/>
      <c r="M13" s="37"/>
      <c r="N13" s="37"/>
    </row>
    <row r="14" spans="1:14" ht="26.45" customHeight="1">
      <c r="A14" s="38" t="s">
        <v>26</v>
      </c>
      <c r="B14" s="40" t="s">
        <v>106</v>
      </c>
      <c r="C14" s="73">
        <f t="shared" ref="C14" si="3">SUM(C9:C13)</f>
        <v>0</v>
      </c>
      <c r="D14" s="73">
        <f t="shared" ref="D14" si="4">SUM(D9:D13)</f>
        <v>0</v>
      </c>
      <c r="E14" s="73">
        <f t="shared" ref="E14:F14" si="5">SUM(E9:E13)</f>
        <v>0</v>
      </c>
      <c r="F14" s="73">
        <f t="shared" si="5"/>
        <v>0</v>
      </c>
      <c r="G14" s="74">
        <f t="shared" si="0"/>
        <v>0</v>
      </c>
      <c r="H14" s="74">
        <f t="shared" si="2"/>
        <v>0</v>
      </c>
      <c r="I14" s="37"/>
      <c r="J14" s="37"/>
      <c r="K14" s="37"/>
      <c r="L14" s="37"/>
      <c r="M14" s="37"/>
      <c r="N14" s="37"/>
    </row>
    <row r="15" spans="1:14">
      <c r="A15" s="38"/>
      <c r="B15" s="39"/>
      <c r="C15" s="73"/>
      <c r="D15" s="73"/>
      <c r="E15" s="73"/>
      <c r="F15" s="73"/>
      <c r="G15" s="74"/>
      <c r="H15" s="74"/>
      <c r="I15" s="37"/>
      <c r="J15" s="37"/>
      <c r="K15" s="37"/>
      <c r="L15" s="37"/>
      <c r="M15" s="37"/>
      <c r="N15" s="37"/>
    </row>
    <row r="16" spans="1:14" ht="25.5">
      <c r="A16" s="38" t="s">
        <v>27</v>
      </c>
      <c r="B16" s="40" t="s">
        <v>107</v>
      </c>
      <c r="C16" s="73" t="e">
        <f>C14-C13</f>
        <v>#VALUE!</v>
      </c>
      <c r="D16" s="73" t="e">
        <f>D14-D13</f>
        <v>#VALUE!</v>
      </c>
      <c r="E16" s="73" t="e">
        <f>E14-E13</f>
        <v>#VALUE!</v>
      </c>
      <c r="F16" s="73" t="e">
        <f>F14-F13</f>
        <v>#VALUE!</v>
      </c>
      <c r="G16" s="74" t="e">
        <f t="shared" si="0"/>
        <v>#VALUE!</v>
      </c>
      <c r="H16" s="74" t="e">
        <f t="shared" si="2"/>
        <v>#VALUE!</v>
      </c>
      <c r="I16" s="37"/>
      <c r="J16" s="37"/>
      <c r="K16" s="37"/>
      <c r="L16" s="37"/>
      <c r="M16" s="37"/>
      <c r="N16" s="37"/>
    </row>
    <row r="17" spans="1:14">
      <c r="A17" s="38" t="s">
        <v>28</v>
      </c>
      <c r="B17" s="139" t="s">
        <v>170</v>
      </c>
      <c r="C17" s="75" t="s">
        <v>167</v>
      </c>
      <c r="D17" s="75" t="s">
        <v>168</v>
      </c>
      <c r="E17" s="75" cm="1">
        <f t="array" aca="1" ref="E17" ca="1">ROUND(E14*SUMPRODUCT(MID(0&amp;B17, LARGE(INDEX(ISNUMBER(--MID(B17, ROW(INDIRECT("1:"&amp;LEN(B17))), 1)) * ROW(INDIRECT("1:"&amp;LEN(B17))), 0), ROW(INDIRECT("1:"&amp;LEN(B17))))+1, 1) * 10^ROW(INDIRECT("1:"&amp;LEN(B17)))/10)%, 2)</f>
        <v>0</v>
      </c>
      <c r="F17" s="75" t="s">
        <v>169</v>
      </c>
      <c r="G17" s="74" t="e">
        <f ca="1">SUM(E17+F17)</f>
        <v>#VALUE!</v>
      </c>
      <c r="H17" s="74" t="e">
        <f t="shared" ca="1" si="2"/>
        <v>#VALUE!</v>
      </c>
      <c r="I17" s="37"/>
      <c r="J17" s="37"/>
      <c r="K17" s="37"/>
      <c r="L17" s="37"/>
      <c r="M17" s="37"/>
      <c r="N17" s="37"/>
    </row>
    <row r="18" spans="1:14">
      <c r="A18" s="38"/>
      <c r="B18" s="40"/>
      <c r="C18" s="73"/>
      <c r="D18" s="73"/>
      <c r="E18" s="73"/>
      <c r="F18" s="73"/>
      <c r="G18" s="74"/>
      <c r="H18" s="74"/>
      <c r="I18" s="37"/>
      <c r="J18" s="37"/>
      <c r="K18" s="37"/>
      <c r="L18" s="37"/>
      <c r="M18" s="37"/>
      <c r="N18" s="37"/>
    </row>
    <row r="19" spans="1:14" ht="32.25" customHeight="1">
      <c r="A19" s="38" t="s">
        <v>29</v>
      </c>
      <c r="B19" s="40" t="s">
        <v>108</v>
      </c>
      <c r="C19" s="74" t="s">
        <v>127</v>
      </c>
      <c r="D19" s="76" t="s">
        <v>128</v>
      </c>
      <c r="E19" s="74" t="s">
        <v>129</v>
      </c>
      <c r="F19" s="76" t="s">
        <v>130</v>
      </c>
      <c r="G19" s="74" t="e">
        <f t="shared" si="0"/>
        <v>#VALUE!</v>
      </c>
      <c r="H19" s="74" t="e">
        <f t="shared" si="2"/>
        <v>#VALUE!</v>
      </c>
      <c r="I19" s="37"/>
      <c r="J19" s="37"/>
      <c r="K19" s="37"/>
      <c r="L19" s="37"/>
      <c r="M19" s="37"/>
      <c r="N19" s="37"/>
    </row>
    <row r="20" spans="1:14" ht="93.95" customHeight="1">
      <c r="A20" s="157" t="s">
        <v>109</v>
      </c>
      <c r="B20" s="157"/>
      <c r="C20" s="157"/>
      <c r="D20" s="157"/>
      <c r="E20" s="157"/>
      <c r="F20" s="157"/>
      <c r="G20" s="157"/>
      <c r="H20" s="157"/>
      <c r="I20" s="37"/>
      <c r="J20" s="37"/>
      <c r="K20" s="37"/>
      <c r="L20" s="37"/>
      <c r="M20" s="37"/>
      <c r="N20" s="37"/>
    </row>
    <row r="21" spans="1:14" ht="106.5" customHeight="1">
      <c r="A21" s="154" t="s">
        <v>160</v>
      </c>
      <c r="B21" s="155"/>
      <c r="C21" s="154" t="s">
        <v>161</v>
      </c>
      <c r="D21" s="156"/>
      <c r="E21" s="142" t="s">
        <v>162</v>
      </c>
      <c r="F21" s="143"/>
      <c r="G21" s="143"/>
      <c r="H21" s="144"/>
      <c r="I21" s="37"/>
      <c r="J21" s="37"/>
      <c r="K21" s="37"/>
      <c r="L21" s="37"/>
      <c r="M21" s="37"/>
      <c r="N21" s="37"/>
    </row>
    <row r="22" spans="1:14" ht="15" customHeight="1">
      <c r="A22" s="145" t="s">
        <v>126</v>
      </c>
      <c r="B22" s="146"/>
      <c r="C22" s="146"/>
      <c r="D22" s="147"/>
      <c r="E22" s="147"/>
      <c r="F22" s="147"/>
      <c r="G22" s="147"/>
      <c r="H22" s="148"/>
      <c r="I22" s="37"/>
      <c r="J22" s="37"/>
      <c r="K22" s="37"/>
      <c r="L22" s="37"/>
      <c r="M22" s="37"/>
      <c r="N22" s="37"/>
    </row>
    <row r="23" spans="1:14" ht="12" customHeight="1">
      <c r="A23" s="149"/>
      <c r="B23" s="149"/>
      <c r="C23" s="149"/>
      <c r="D23" s="149"/>
      <c r="E23" s="41"/>
      <c r="F23" s="41"/>
      <c r="G23" s="41"/>
      <c r="H23" s="41"/>
      <c r="I23" s="37"/>
      <c r="J23" s="37"/>
      <c r="K23" s="37"/>
      <c r="L23" s="37"/>
      <c r="M23" s="37"/>
      <c r="N23" s="37"/>
    </row>
    <row r="24" spans="1:14" ht="26.25" customHeight="1">
      <c r="A24" s="141" t="s">
        <v>110</v>
      </c>
      <c r="B24" s="141"/>
      <c r="C24" s="141"/>
      <c r="D24" s="141"/>
      <c r="E24" s="141"/>
      <c r="F24" s="141"/>
      <c r="G24" s="141"/>
      <c r="H24" s="141"/>
      <c r="I24" s="141"/>
      <c r="J24" s="37"/>
      <c r="K24" s="37"/>
      <c r="L24" s="37"/>
      <c r="M24" s="37"/>
      <c r="N24" s="37"/>
    </row>
    <row r="25" spans="1:14" ht="27.75" customHeight="1">
      <c r="A25" s="141" t="s">
        <v>111</v>
      </c>
      <c r="B25" s="141"/>
      <c r="C25" s="141"/>
      <c r="D25" s="141"/>
      <c r="E25" s="141"/>
      <c r="F25" s="141"/>
      <c r="G25" s="141"/>
      <c r="H25" s="141"/>
      <c r="I25" s="141"/>
    </row>
    <row r="26" spans="1:14" ht="36.950000000000003" customHeight="1">
      <c r="A26" s="141" t="s">
        <v>112</v>
      </c>
      <c r="B26" s="141"/>
      <c r="C26" s="141"/>
      <c r="D26" s="141"/>
      <c r="E26" s="141"/>
      <c r="F26" s="141"/>
      <c r="G26" s="141"/>
      <c r="H26" s="141"/>
      <c r="I26" s="141"/>
    </row>
  </sheetData>
  <sheetProtection formatCells="0" formatColumns="0"/>
  <mergeCells count="18">
    <mergeCell ref="A4:B4"/>
    <mergeCell ref="A5:B5"/>
    <mergeCell ref="A1:H1"/>
    <mergeCell ref="C4:H4"/>
    <mergeCell ref="C5:H5"/>
    <mergeCell ref="C2:D2"/>
    <mergeCell ref="A7:B7"/>
    <mergeCell ref="A6:H6"/>
    <mergeCell ref="C7:H7"/>
    <mergeCell ref="A20:H20"/>
    <mergeCell ref="A21:B21"/>
    <mergeCell ref="C21:D21"/>
    <mergeCell ref="A26:I26"/>
    <mergeCell ref="E21:H21"/>
    <mergeCell ref="A22:H22"/>
    <mergeCell ref="A23:D23"/>
    <mergeCell ref="A24:I24"/>
    <mergeCell ref="A25:I25"/>
  </mergeCells>
  <conditionalFormatting sqref="C9:H13">
    <cfRule type="containsBlanks" dxfId="0" priority="3">
      <formula>LEN(TRIM(C9))=0</formula>
    </cfRule>
  </conditionalFormatting>
  <pageMargins left="0.73622047199999996" right="0.23622047244094499" top="0.74803149606299202" bottom="0.74803149606299202" header="0.31496062992126" footer="0.31496062992126"/>
  <pageSetup paperSize="9" scale="64" orientation="portrait" r:id="rId1"/>
  <headerFooter>
    <oddFooter>&amp;L&amp;9&amp;Z&amp;F</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60"/>
  <sheetViews>
    <sheetView topLeftCell="A60" zoomScale="115" zoomScaleNormal="115" workbookViewId="0">
      <selection activeCell="F18" sqref="F18"/>
    </sheetView>
  </sheetViews>
  <sheetFormatPr defaultRowHeight="15"/>
  <cols>
    <col min="1" max="1" width="28.5703125" customWidth="1"/>
    <col min="2" max="2" width="16.7109375" customWidth="1"/>
    <col min="3" max="3" width="19.28515625" customWidth="1"/>
    <col min="4" max="4" width="16.140625" customWidth="1"/>
    <col min="5" max="5" width="14.5703125" customWidth="1"/>
    <col min="6" max="6" width="15.7109375" customWidth="1"/>
    <col min="7" max="7" width="15.5703125" customWidth="1"/>
    <col min="8" max="8" width="16" customWidth="1"/>
    <col min="9" max="9" width="16.28515625" customWidth="1"/>
    <col min="10" max="10" width="16.42578125" customWidth="1"/>
    <col min="12" max="12" width="15.85546875" customWidth="1"/>
  </cols>
  <sheetData>
    <row r="1" spans="1:9" ht="18" customHeight="1">
      <c r="A1" s="43" t="s">
        <v>30</v>
      </c>
      <c r="B1" s="44"/>
    </row>
    <row r="2" spans="1:9" ht="5.25" customHeight="1">
      <c r="A2" s="43"/>
      <c r="B2" s="44"/>
    </row>
    <row r="3" spans="1:9" ht="5.25" customHeight="1"/>
    <row r="4" spans="1:9" ht="18" customHeight="1">
      <c r="A4" t="s">
        <v>117</v>
      </c>
      <c r="B4" t="s">
        <v>131</v>
      </c>
    </row>
    <row r="5" spans="1:9" ht="18" customHeight="1">
      <c r="A5" s="45" t="s">
        <v>118</v>
      </c>
    </row>
    <row r="6" spans="1:9" ht="18" customHeight="1">
      <c r="A6" s="45"/>
    </row>
    <row r="7" spans="1:9">
      <c r="A7" s="22" t="s">
        <v>31</v>
      </c>
      <c r="B7" s="22"/>
    </row>
    <row r="8" spans="1:9">
      <c r="A8" t="s">
        <v>32</v>
      </c>
      <c r="B8" s="22"/>
    </row>
    <row r="9" spans="1:9" ht="15.75" thickBot="1">
      <c r="A9" t="s">
        <v>33</v>
      </c>
    </row>
    <row r="10" spans="1:9" ht="46.5" customHeight="1">
      <c r="A10" s="182" t="s">
        <v>34</v>
      </c>
      <c r="B10" s="179" t="s">
        <v>35</v>
      </c>
      <c r="C10" s="66" t="s">
        <v>36</v>
      </c>
      <c r="D10" s="66" t="s">
        <v>37</v>
      </c>
      <c r="E10" s="66" t="s">
        <v>38</v>
      </c>
      <c r="F10" s="66" t="s">
        <v>39</v>
      </c>
      <c r="G10" s="66" t="s">
        <v>40</v>
      </c>
      <c r="H10" s="66" t="s">
        <v>41</v>
      </c>
      <c r="I10" s="7" t="s">
        <v>42</v>
      </c>
    </row>
    <row r="11" spans="1:9" ht="30.75" thickBot="1">
      <c r="A11" s="183"/>
      <c r="B11" s="180"/>
      <c r="C11" s="1" t="s">
        <v>43</v>
      </c>
      <c r="D11" s="1" t="s">
        <v>43</v>
      </c>
      <c r="E11" s="1" t="s">
        <v>43</v>
      </c>
      <c r="F11" s="1" t="s">
        <v>44</v>
      </c>
      <c r="G11" s="1" t="s">
        <v>45</v>
      </c>
      <c r="H11" s="1" t="s">
        <v>46</v>
      </c>
      <c r="I11" s="69" t="s">
        <v>43</v>
      </c>
    </row>
    <row r="12" spans="1:9" ht="45">
      <c r="A12" s="87" t="s">
        <v>132</v>
      </c>
      <c r="B12" s="88" t="s">
        <v>147</v>
      </c>
      <c r="C12" s="114"/>
      <c r="D12" s="114"/>
      <c r="E12" s="114"/>
      <c r="F12" s="108"/>
      <c r="G12" s="115"/>
      <c r="H12" s="113"/>
      <c r="I12" s="116"/>
    </row>
    <row r="13" spans="1:9" ht="30">
      <c r="A13" s="89" t="s">
        <v>47</v>
      </c>
      <c r="B13" s="90"/>
      <c r="C13" s="136" t="str">
        <f>IF(A13="Monthly Rate",G13,"")</f>
        <v/>
      </c>
      <c r="D13" s="136" t="str">
        <f>IF(A13="Employer CPF",G13,"")</f>
        <v/>
      </c>
      <c r="E13" s="136" t="str">
        <f>IF(AND(A13&lt;&gt;"Monthly Rate",A13&lt;&gt;"Employer CPF"),G13,"")</f>
        <v>${transactions.adjustedTotal}</v>
      </c>
      <c r="F13" s="79" t="s">
        <v>166</v>
      </c>
      <c r="G13" s="137" t="s">
        <v>49</v>
      </c>
      <c r="H13" s="110" t="s">
        <v>48</v>
      </c>
      <c r="I13" s="138" t="s">
        <v>49</v>
      </c>
    </row>
    <row r="14" spans="1:9">
      <c r="A14" s="2"/>
      <c r="B14" s="16"/>
      <c r="C14" s="3"/>
      <c r="D14" s="3"/>
      <c r="E14" s="3"/>
      <c r="F14" s="46"/>
      <c r="G14" s="3"/>
      <c r="H14" s="4"/>
      <c r="I14" s="14">
        <f>G14*H14</f>
        <v>0</v>
      </c>
    </row>
    <row r="15" spans="1:9" ht="15.75" thickBot="1">
      <c r="A15" s="47" t="s">
        <v>50</v>
      </c>
      <c r="B15" s="48"/>
      <c r="C15" s="127" t="s">
        <v>140</v>
      </c>
      <c r="D15" s="127" t="s">
        <v>141</v>
      </c>
      <c r="E15" s="127" t="s">
        <v>142</v>
      </c>
      <c r="F15" s="128"/>
      <c r="G15" s="127" t="s">
        <v>143</v>
      </c>
      <c r="H15" s="129"/>
      <c r="I15" s="130" t="s">
        <v>144</v>
      </c>
    </row>
    <row r="16" spans="1:9">
      <c r="A16" s="22"/>
      <c r="B16" s="22"/>
      <c r="C16" s="49"/>
      <c r="D16" s="49"/>
      <c r="E16" s="49"/>
      <c r="F16" s="22"/>
      <c r="G16" s="22"/>
      <c r="H16" s="22"/>
      <c r="I16" s="49"/>
    </row>
    <row r="17" spans="1:10">
      <c r="A17" s="92" t="s">
        <v>51</v>
      </c>
      <c r="B17" s="92"/>
      <c r="C17" s="93"/>
      <c r="D17" s="93"/>
      <c r="E17" s="93"/>
      <c r="F17" s="93"/>
      <c r="G17" s="93"/>
      <c r="H17" s="93"/>
    </row>
    <row r="18" spans="1:10">
      <c r="A18" s="93" t="s">
        <v>32</v>
      </c>
      <c r="B18" s="92"/>
      <c r="C18" s="93"/>
      <c r="D18" s="93"/>
      <c r="E18" s="93"/>
      <c r="F18" s="93"/>
      <c r="G18" s="93"/>
      <c r="H18" s="93"/>
    </row>
    <row r="19" spans="1:10" ht="15.75" thickBot="1">
      <c r="A19" s="94" t="s">
        <v>52</v>
      </c>
      <c r="B19" s="92"/>
      <c r="C19" s="93"/>
      <c r="D19" s="93"/>
      <c r="E19" s="93"/>
      <c r="F19" s="93"/>
      <c r="G19" s="93"/>
      <c r="H19" s="93"/>
    </row>
    <row r="20" spans="1:10" ht="34.9" customHeight="1">
      <c r="A20" s="184" t="s">
        <v>53</v>
      </c>
      <c r="B20" s="179" t="s">
        <v>54</v>
      </c>
      <c r="C20" s="179" t="s">
        <v>148</v>
      </c>
      <c r="D20" s="78" t="s">
        <v>55</v>
      </c>
      <c r="E20" s="78" t="s">
        <v>56</v>
      </c>
      <c r="F20" s="78" t="s">
        <v>57</v>
      </c>
      <c r="G20" s="78" t="s">
        <v>58</v>
      </c>
      <c r="H20" s="95" t="s">
        <v>59</v>
      </c>
    </row>
    <row r="21" spans="1:10">
      <c r="A21" s="185"/>
      <c r="B21" s="181"/>
      <c r="C21" s="189"/>
      <c r="D21" s="96" t="s">
        <v>60</v>
      </c>
      <c r="E21" s="96" t="s">
        <v>61</v>
      </c>
      <c r="F21" s="96" t="s">
        <v>62</v>
      </c>
      <c r="G21" s="96" t="s">
        <v>63</v>
      </c>
      <c r="H21" s="97" t="s">
        <v>64</v>
      </c>
    </row>
    <row r="22" spans="1:10" s="6" customFormat="1" ht="15" customHeight="1">
      <c r="A22" s="91" t="s">
        <v>47</v>
      </c>
      <c r="B22" s="120"/>
      <c r="C22" s="117" t="s">
        <v>154</v>
      </c>
      <c r="D22" s="80" t="s">
        <v>146</v>
      </c>
      <c r="E22" s="118"/>
      <c r="F22" s="118" t="s">
        <v>49</v>
      </c>
      <c r="G22" s="107" t="s">
        <v>48</v>
      </c>
      <c r="H22" s="119" t="s">
        <v>49</v>
      </c>
    </row>
    <row r="23" spans="1:10">
      <c r="A23" s="98"/>
      <c r="B23" s="99"/>
      <c r="C23" s="99"/>
      <c r="D23" s="100"/>
      <c r="E23" s="101"/>
      <c r="F23" s="101"/>
      <c r="G23" s="102"/>
      <c r="H23" s="103">
        <f t="shared" ref="H23" si="0">F23*G23</f>
        <v>0</v>
      </c>
    </row>
    <row r="24" spans="1:10" ht="15.75" thickBot="1">
      <c r="A24" s="104" t="s">
        <v>50</v>
      </c>
      <c r="B24" s="105"/>
      <c r="C24" s="105"/>
      <c r="D24" s="106"/>
      <c r="E24" s="131" t="s">
        <v>145</v>
      </c>
      <c r="F24" s="131" t="s">
        <v>151</v>
      </c>
      <c r="G24" s="132"/>
      <c r="H24" s="133" t="s">
        <v>150</v>
      </c>
    </row>
    <row r="26" spans="1:10">
      <c r="A26" s="22" t="s">
        <v>149</v>
      </c>
      <c r="B26" s="22"/>
    </row>
    <row r="27" spans="1:10">
      <c r="A27" t="s">
        <v>32</v>
      </c>
      <c r="B27" s="22"/>
    </row>
    <row r="28" spans="1:10" ht="15.75" thickBot="1">
      <c r="A28" s="42" t="s">
        <v>52</v>
      </c>
      <c r="B28" s="22"/>
    </row>
    <row r="29" spans="1:10" ht="30">
      <c r="A29" s="172" t="s">
        <v>53</v>
      </c>
      <c r="B29" s="175" t="s">
        <v>148</v>
      </c>
      <c r="C29" s="66" t="s">
        <v>55</v>
      </c>
      <c r="D29" s="66" t="s">
        <v>57</v>
      </c>
      <c r="E29" s="66" t="s">
        <v>58</v>
      </c>
      <c r="F29" s="7" t="s">
        <v>59</v>
      </c>
      <c r="G29" s="8"/>
      <c r="H29" s="8"/>
      <c r="I29" s="8"/>
      <c r="J29" s="8"/>
    </row>
    <row r="30" spans="1:10">
      <c r="A30" s="173"/>
      <c r="B30" s="190"/>
      <c r="C30" s="9" t="s">
        <v>60</v>
      </c>
      <c r="D30" s="9" t="s">
        <v>66</v>
      </c>
      <c r="E30" s="9" t="s">
        <v>63</v>
      </c>
      <c r="F30" s="68" t="s">
        <v>67</v>
      </c>
      <c r="G30" s="8"/>
      <c r="H30" s="8"/>
      <c r="I30" s="8"/>
      <c r="J30" s="8"/>
    </row>
    <row r="31" spans="1:10" ht="18.600000000000001" customHeight="1">
      <c r="A31" s="86" t="s">
        <v>47</v>
      </c>
      <c r="B31" s="121" t="s">
        <v>154</v>
      </c>
      <c r="C31" s="80" t="s">
        <v>146</v>
      </c>
      <c r="D31" s="122" t="s">
        <v>49</v>
      </c>
      <c r="E31" s="123" t="s">
        <v>48</v>
      </c>
      <c r="F31" s="119" t="s">
        <v>49</v>
      </c>
      <c r="G31" s="8"/>
      <c r="H31" s="23"/>
      <c r="I31" s="8"/>
      <c r="J31" s="8"/>
    </row>
    <row r="32" spans="1:10">
      <c r="A32" s="2"/>
      <c r="B32" s="84"/>
      <c r="C32" s="18"/>
      <c r="D32" s="3"/>
      <c r="E32" s="4"/>
      <c r="F32" s="14">
        <f t="shared" ref="F32" si="1">D32*E32</f>
        <v>0</v>
      </c>
    </row>
    <row r="33" spans="1:10" ht="15.75" thickBot="1">
      <c r="A33" s="47" t="s">
        <v>50</v>
      </c>
      <c r="B33" s="85"/>
      <c r="C33" s="53"/>
      <c r="D33" s="127" t="s">
        <v>152</v>
      </c>
      <c r="E33" s="129"/>
      <c r="F33" s="130" t="s">
        <v>153</v>
      </c>
    </row>
    <row r="35" spans="1:10" ht="15.75" thickBot="1">
      <c r="A35" s="22" t="s">
        <v>119</v>
      </c>
      <c r="B35" s="22"/>
    </row>
    <row r="36" spans="1:10" ht="40.9" customHeight="1">
      <c r="A36" s="172" t="s">
        <v>53</v>
      </c>
      <c r="B36" s="175" t="s">
        <v>68</v>
      </c>
      <c r="C36" s="10" t="s">
        <v>69</v>
      </c>
      <c r="D36" s="66" t="s">
        <v>70</v>
      </c>
      <c r="E36" s="175" t="s">
        <v>71</v>
      </c>
      <c r="F36" s="11" t="s">
        <v>72</v>
      </c>
      <c r="G36" s="11" t="s">
        <v>73</v>
      </c>
      <c r="H36" s="11" t="s">
        <v>74</v>
      </c>
      <c r="I36" s="66" t="s">
        <v>58</v>
      </c>
      <c r="J36" s="7" t="s">
        <v>59</v>
      </c>
    </row>
    <row r="37" spans="1:10" ht="21" customHeight="1" thickBot="1">
      <c r="A37" s="174"/>
      <c r="B37" s="176"/>
      <c r="C37" s="70" t="s">
        <v>75</v>
      </c>
      <c r="D37" s="1" t="s">
        <v>44</v>
      </c>
      <c r="E37" s="176"/>
      <c r="F37" s="67" t="s">
        <v>76</v>
      </c>
      <c r="G37" s="67" t="s">
        <v>77</v>
      </c>
      <c r="H37" s="71" t="s">
        <v>78</v>
      </c>
      <c r="I37" s="1" t="s">
        <v>63</v>
      </c>
      <c r="J37" s="21" t="s">
        <v>67</v>
      </c>
    </row>
    <row r="38" spans="1:10" ht="28.9" customHeight="1">
      <c r="A38" s="72" t="s">
        <v>47</v>
      </c>
      <c r="B38" s="108" t="s">
        <v>87</v>
      </c>
      <c r="C38" s="108" t="s">
        <v>88</v>
      </c>
      <c r="D38" s="81" t="s">
        <v>89</v>
      </c>
      <c r="E38" s="109" t="s">
        <v>90</v>
      </c>
      <c r="F38" s="115"/>
      <c r="G38" s="124" t="s">
        <v>91</v>
      </c>
      <c r="H38" s="125">
        <f>SUM(F38:G38)</f>
        <v>0</v>
      </c>
      <c r="I38" s="111" t="s">
        <v>48</v>
      </c>
      <c r="J38" s="126" t="s">
        <v>49</v>
      </c>
    </row>
    <row r="39" spans="1:10">
      <c r="A39" s="2"/>
      <c r="B39" s="16"/>
      <c r="C39" s="16"/>
      <c r="D39" s="16"/>
      <c r="E39" s="46"/>
      <c r="F39" s="54"/>
      <c r="G39" s="3"/>
      <c r="H39" s="3">
        <f t="shared" ref="H39" si="2">SUM(F39:G39)</f>
        <v>0</v>
      </c>
      <c r="I39" s="4"/>
      <c r="J39" s="17">
        <f t="shared" ref="J39" si="3">H39*I39</f>
        <v>0</v>
      </c>
    </row>
    <row r="40" spans="1:10" ht="15.75" thickBot="1">
      <c r="A40" s="47" t="s">
        <v>50</v>
      </c>
      <c r="B40" s="48"/>
      <c r="C40" s="48"/>
      <c r="D40" s="48"/>
      <c r="E40" s="127" t="s">
        <v>137</v>
      </c>
      <c r="F40" s="127" t="s">
        <v>136</v>
      </c>
      <c r="G40" s="127" t="s">
        <v>135</v>
      </c>
      <c r="H40" s="127" t="s">
        <v>134</v>
      </c>
      <c r="I40" s="129"/>
      <c r="J40" s="130" t="s">
        <v>133</v>
      </c>
    </row>
    <row r="42" spans="1:10">
      <c r="A42" s="22" t="s">
        <v>120</v>
      </c>
      <c r="B42" s="22"/>
    </row>
    <row r="43" spans="1:10">
      <c r="A43" t="s">
        <v>32</v>
      </c>
      <c r="B43" s="22"/>
    </row>
    <row r="44" spans="1:10" ht="15.75" thickBot="1">
      <c r="A44" s="42" t="s">
        <v>52</v>
      </c>
      <c r="B44" s="22"/>
    </row>
    <row r="45" spans="1:10" ht="57.75" customHeight="1">
      <c r="A45" s="177" t="s">
        <v>121</v>
      </c>
      <c r="B45" s="175" t="s">
        <v>122</v>
      </c>
      <c r="C45" s="175" t="s">
        <v>123</v>
      </c>
      <c r="D45" s="66" t="s">
        <v>57</v>
      </c>
      <c r="E45" s="66" t="s">
        <v>58</v>
      </c>
      <c r="F45" s="7" t="s">
        <v>59</v>
      </c>
    </row>
    <row r="46" spans="1:10" ht="15.75" thickBot="1">
      <c r="A46" s="178"/>
      <c r="B46" s="176"/>
      <c r="C46" s="176"/>
      <c r="D46" s="1" t="s">
        <v>62</v>
      </c>
      <c r="E46" s="1" t="s">
        <v>63</v>
      </c>
      <c r="F46" s="21" t="s">
        <v>64</v>
      </c>
    </row>
    <row r="47" spans="1:10">
      <c r="A47" s="135" t="s">
        <v>132</v>
      </c>
      <c r="B47" s="134" t="s">
        <v>47</v>
      </c>
      <c r="C47" s="83"/>
      <c r="D47" s="82" t="s">
        <v>49</v>
      </c>
      <c r="E47" s="111" t="s">
        <v>48</v>
      </c>
      <c r="F47" s="112" t="e">
        <f>D47*E47/100</f>
        <v>#VALUE!</v>
      </c>
    </row>
    <row r="48" spans="1:10">
      <c r="A48" s="15"/>
      <c r="B48" s="16"/>
      <c r="C48" s="18"/>
      <c r="D48" s="12"/>
      <c r="E48" s="13"/>
      <c r="F48" s="14"/>
    </row>
    <row r="49" spans="1:8" ht="15.75" thickBot="1">
      <c r="A49" s="50" t="s">
        <v>50</v>
      </c>
      <c r="B49" s="51"/>
      <c r="C49" s="53"/>
      <c r="D49" s="127" t="s">
        <v>139</v>
      </c>
      <c r="E49" s="52"/>
      <c r="F49" s="130" t="s">
        <v>138</v>
      </c>
    </row>
    <row r="50" spans="1:8">
      <c r="A50" s="22"/>
      <c r="B50" s="55"/>
      <c r="C50" s="56"/>
      <c r="D50" s="55"/>
      <c r="E50" s="55"/>
      <c r="F50" s="56"/>
      <c r="G50" s="55"/>
      <c r="H50" s="56"/>
    </row>
    <row r="52" spans="1:8">
      <c r="A52" s="22" t="s">
        <v>79</v>
      </c>
    </row>
    <row r="53" spans="1:8" ht="15.75" thickBot="1">
      <c r="A53" t="s">
        <v>124</v>
      </c>
    </row>
    <row r="54" spans="1:8" ht="30">
      <c r="A54" s="57" t="s">
        <v>80</v>
      </c>
      <c r="B54" s="11" t="s">
        <v>81</v>
      </c>
      <c r="C54" s="11" t="s">
        <v>82</v>
      </c>
      <c r="D54" s="11" t="s">
        <v>83</v>
      </c>
      <c r="E54" s="186" t="s">
        <v>84</v>
      </c>
      <c r="F54" s="187"/>
      <c r="G54" s="188"/>
    </row>
    <row r="55" spans="1:8" ht="30">
      <c r="A55" s="19" t="s">
        <v>85</v>
      </c>
      <c r="B55" s="16"/>
      <c r="C55" s="16"/>
      <c r="D55" s="16"/>
      <c r="E55" s="166"/>
      <c r="F55" s="167"/>
      <c r="G55" s="168"/>
    </row>
    <row r="56" spans="1:8">
      <c r="A56" s="2" t="s">
        <v>86</v>
      </c>
      <c r="B56" s="16"/>
      <c r="C56" s="16"/>
      <c r="D56" s="16"/>
      <c r="E56" s="166"/>
      <c r="F56" s="167"/>
      <c r="G56" s="168"/>
    </row>
    <row r="57" spans="1:8" ht="30">
      <c r="A57" s="19" t="s">
        <v>65</v>
      </c>
      <c r="B57" s="16"/>
      <c r="C57" s="16"/>
      <c r="D57" s="16"/>
      <c r="E57" s="166"/>
      <c r="F57" s="167"/>
      <c r="G57" s="168"/>
    </row>
    <row r="58" spans="1:8">
      <c r="A58" s="2" t="s">
        <v>119</v>
      </c>
      <c r="B58" s="16"/>
      <c r="C58" s="16"/>
      <c r="D58" s="16"/>
      <c r="E58" s="166"/>
      <c r="F58" s="167"/>
      <c r="G58" s="168"/>
    </row>
    <row r="59" spans="1:8">
      <c r="A59" s="5" t="s">
        <v>120</v>
      </c>
      <c r="B59" s="58"/>
      <c r="C59" s="58"/>
      <c r="D59" s="58"/>
      <c r="E59" s="59"/>
      <c r="F59" s="60"/>
      <c r="G59" s="61"/>
    </row>
    <row r="60" spans="1:8" ht="30.75" thickBot="1">
      <c r="A60" s="62" t="s">
        <v>125</v>
      </c>
      <c r="B60" s="20"/>
      <c r="C60" s="20"/>
      <c r="D60" s="20"/>
      <c r="E60" s="169"/>
      <c r="F60" s="170"/>
      <c r="G60" s="171"/>
    </row>
  </sheetData>
  <sortState xmlns:xlrd2="http://schemas.microsoft.com/office/spreadsheetml/2017/richdata2" ref="A8:I14">
    <sortCondition ref="A8:A14"/>
  </sortState>
  <mergeCells count="19">
    <mergeCell ref="B10:B11"/>
    <mergeCell ref="B20:B21"/>
    <mergeCell ref="A10:A11"/>
    <mergeCell ref="A20:A21"/>
    <mergeCell ref="E54:G54"/>
    <mergeCell ref="C20:C21"/>
    <mergeCell ref="B29:B30"/>
    <mergeCell ref="E57:G57"/>
    <mergeCell ref="E58:G58"/>
    <mergeCell ref="E60:G60"/>
    <mergeCell ref="A29:A30"/>
    <mergeCell ref="A36:A37"/>
    <mergeCell ref="B36:B37"/>
    <mergeCell ref="E36:E37"/>
    <mergeCell ref="A45:A46"/>
    <mergeCell ref="B45:B46"/>
    <mergeCell ref="C45:C46"/>
    <mergeCell ref="E55:G55"/>
    <mergeCell ref="E56:G56"/>
  </mergeCells>
  <pageMargins left="0.23622047244094499" right="0.23622047244094499" top="0.47244094488188998" bottom="0.31496062992126" header="0.31496062992126" footer="0.31496062992126"/>
  <pageSetup paperSize="9" scale="60" fitToHeight="3" orientation="landscape" r:id="rId1"/>
  <headerFooter>
    <oddFooter>&amp;L&amp;9&amp;Z&amp;F&amp;C&amp;9&amp;P/&amp;N</oddFooter>
  </headerFooter>
  <rowBreaks count="1" manualBreakCount="1">
    <brk id="30" max="10" man="1"/>
  </row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Instructions</vt:lpstr>
      <vt:lpstr>Claim Template</vt:lpstr>
      <vt:lpstr>Appendix 1</vt:lpstr>
      <vt:lpstr>'Appendix 1'!Print_Area</vt:lpstr>
      <vt:lpstr>'Appendix 1'!Print_Titles</vt:lpstr>
    </vt:vector>
  </TitlesOfParts>
  <Company>Singapore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Sandy KOH (MND)</dc:creator>
  <cp:lastModifiedBy>Aswathy Raj</cp:lastModifiedBy>
  <cp:lastPrinted>2019-11-18T09:04:00Z</cp:lastPrinted>
  <dcterms:created xsi:type="dcterms:W3CDTF">2014-09-15T03:36:00Z</dcterms:created>
  <dcterms:modified xsi:type="dcterms:W3CDTF">2023-04-19T08:02:41Z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1AE25C521433432D96AE879550FDC57E</vt:lpwstr>
  </property>
  <property fmtid="{D5CDD505-2E9C-101B-9397-08002B2CF9AE}" pid="3" name="KSOProductBuildVer">
    <vt:lpwstr>1033-11.2.0.10463</vt:lpwstr>
  </property>
</Properties>
</file>