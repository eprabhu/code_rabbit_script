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B2337BEC-DF08-40C3-9139-F366A05A1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und Drawdown" sheetId="2" r:id="rId1"/>
    <sheet name="Final Statment of Accoun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H12" i="4" s="1"/>
  <c r="G13" i="4"/>
  <c r="H13" i="4" s="1"/>
  <c r="G14" i="4"/>
  <c r="H14" i="4" s="1"/>
  <c r="G15" i="4"/>
  <c r="H15" i="4" s="1"/>
  <c r="G11" i="4"/>
  <c r="H11" i="4" s="1"/>
  <c r="G16" i="2" a="1"/>
  <c r="F16" i="2" a="1"/>
  <c r="E16" i="2" a="1"/>
  <c r="D16" i="2" a="1"/>
  <c r="C16" i="2" a="1"/>
  <c r="G16" i="4" a="1"/>
  <c r="F16" i="4" a="1"/>
  <c r="E16" i="4" a="1"/>
  <c r="D16" i="4" a="1"/>
  <c r="C16" i="4" a="1"/>
  <c r="G16" i="2" l="1"/>
  <c r="F16" i="2"/>
  <c r="E16" i="2"/>
  <c r="D16" i="2"/>
  <c r="C16" i="2"/>
  <c r="C19" i="2" s="1"/>
  <c r="G16" i="4"/>
  <c r="F16" i="4"/>
  <c r="E16" i="4"/>
  <c r="E18" i="4" s="1"/>
  <c r="D16" i="4"/>
  <c r="C16" i="4"/>
  <c r="C18" i="4" s="1"/>
  <c r="F18" i="4"/>
  <c r="D18" i="4" l="1"/>
  <c r="H16" i="4"/>
  <c r="F12" i="2" l="1"/>
  <c r="H12" i="2" s="1"/>
  <c r="F13" i="2"/>
  <c r="F14" i="2"/>
  <c r="F15" i="2"/>
  <c r="F11" i="2"/>
  <c r="H16" i="2" s="1"/>
  <c r="F19" i="2" l="1"/>
  <c r="H11" i="2"/>
  <c r="H19" i="2" s="1"/>
  <c r="H14" i="2"/>
  <c r="G18" i="4" l="1"/>
  <c r="H13" i="2"/>
  <c r="H15" i="2"/>
  <c r="H18" i="4" l="1"/>
  <c r="H21" i="4" s="1"/>
  <c r="H21" i="2"/>
  <c r="E19" i="2" l="1"/>
  <c r="G19" i="2"/>
  <c r="D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295F1288-6552-4AE3-8D6E-B99FC9D66118}">
      <text>
        <r>
          <rPr>
            <b/>
            <sz val="9"/>
            <color indexed="81"/>
            <rFont val="Tahoma"/>
            <family val="2"/>
          </rPr>
          <t xml:space="preserve">jx:area(lastCell="H9")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 xr:uid="{06F8996A-C3BA-4F7F-A169-067206481F0E}">
      <text>
        <r>
          <rPr>
            <b/>
            <sz val="9"/>
            <color indexed="81"/>
            <rFont val="Tahoma"/>
            <family val="2"/>
          </rPr>
          <t>jx:area(lastCell="A11")</t>
        </r>
      </text>
    </comment>
    <comment ref="C11" authorId="0" shapeId="0" xr:uid="{6DA84A82-7508-4885-8145-5672635066EA}">
      <text>
        <r>
          <rPr>
            <b/>
            <sz val="9"/>
            <color indexed="81"/>
            <rFont val="Tahoma"/>
            <family val="2"/>
          </rPr>
          <t>jx:area(lastCell="H11")
jx:each (items="claimVO.claimSummary" var="summary" lastCell="H11" select="summary.budgetCategory.code == 'EOM'")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B24DACAF-CDFC-42F1-B299-0856BE042358}">
      <text>
        <r>
          <rPr>
            <b/>
            <sz val="9"/>
            <color indexed="81"/>
            <rFont val="Tahoma"/>
            <family val="2"/>
          </rPr>
          <t>jx:area(lastCell="A12")</t>
        </r>
      </text>
    </comment>
    <comment ref="C12" authorId="0" shapeId="0" xr:uid="{1B52B243-2447-4752-BE1C-A7B7E2EFD67F}">
      <text>
        <r>
          <rPr>
            <b/>
            <sz val="9"/>
            <color indexed="81"/>
            <rFont val="Tahoma"/>
            <family val="2"/>
          </rPr>
          <t>jx:area(lastCell="H12")
jx:each (items="claimVO.claimSummary" var="summary" lastCell="H12" select="summary.budgetCategory.code == 'EQT'")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3BC629A4-77FF-4E3B-BBEC-3E3DC5B51D0B}">
      <text>
        <r>
          <rPr>
            <b/>
            <sz val="9"/>
            <color indexed="81"/>
            <rFont val="Tahoma"/>
            <family val="2"/>
          </rPr>
          <t>jx:area(lastCell="A13")</t>
        </r>
      </text>
    </comment>
    <comment ref="C13" authorId="0" shapeId="0" xr:uid="{BBE3B271-47AB-4106-919B-8D49C0BD6C6E}">
      <text>
        <r>
          <rPr>
            <b/>
            <sz val="9"/>
            <color indexed="81"/>
            <rFont val="Tahoma"/>
            <family val="2"/>
          </rPr>
          <t xml:space="preserve">jx:area(lastCell="H13")
</t>
        </r>
      </text>
    </comment>
    <comment ref="A14" authorId="0" shapeId="0" xr:uid="{00BA781B-6913-493F-97F7-4E2EF33E42CB}">
      <text>
        <r>
          <rPr>
            <b/>
            <sz val="9"/>
            <color indexed="81"/>
            <rFont val="Tahoma"/>
            <family val="2"/>
          </rPr>
          <t>jx:area(lastCell="A14")</t>
        </r>
      </text>
    </comment>
    <comment ref="C14" authorId="0" shapeId="0" xr:uid="{FB94FBD0-3954-4546-9B00-BE25B3FCC7B0}">
      <text>
        <r>
          <rPr>
            <b/>
            <sz val="9"/>
            <color indexed="81"/>
            <rFont val="Tahoma"/>
            <family val="2"/>
          </rPr>
          <t>jx:area(lastCell="H14")
jx:each (items="claimVO.claimSummary" var="summary" lastCell="H14" select="summary.budgetCategory.code == 'OST'")</t>
        </r>
      </text>
    </comment>
    <comment ref="A15" authorId="0" shapeId="0" xr:uid="{995C7AC3-E7F7-40AC-824E-F37A4A4341E3}">
      <text>
        <r>
          <rPr>
            <b/>
            <sz val="9"/>
            <color indexed="81"/>
            <rFont val="Tahoma"/>
            <family val="2"/>
          </rPr>
          <t>jx:area(lastCell="A15")</t>
        </r>
      </text>
    </comment>
    <comment ref="C15" authorId="0" shapeId="0" xr:uid="{4BE10E71-0E13-4C72-9026-0D32B71E646C}">
      <text>
        <r>
          <rPr>
            <b/>
            <sz val="9"/>
            <color indexed="81"/>
            <rFont val="Tahoma"/>
            <family val="2"/>
          </rPr>
          <t>jx:area(lastCell="H15")
jx:each (items="claimVO.claimSummary" var="summary" lastCell="H15" select="summary.budgetCategory.code == 'RSS'")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503DB991-D2F4-49B5-8931-28C873A9AE5E}">
      <text>
        <r>
          <rPr>
            <b/>
            <sz val="9"/>
            <color indexed="81"/>
            <rFont val="Tahoma"/>
            <family val="2"/>
          </rPr>
          <t>jx:area(lastCell="H48")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8508F186-1EA9-4235-8EF4-6F97A46F5AF5}">
      <text>
        <r>
          <rPr>
            <b/>
            <sz val="9"/>
            <color indexed="81"/>
            <rFont val="Tahoma"/>
            <family val="2"/>
          </rPr>
          <t>jx:area(lastCell="H9")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 xr:uid="{650DDE38-7296-46BF-933B-CF143C0F1997}">
      <text>
        <r>
          <rPr>
            <b/>
            <sz val="9"/>
            <color indexed="81"/>
            <rFont val="Tahoma"/>
            <family val="2"/>
          </rPr>
          <t xml:space="preserve">jx:area(lastCell="A11")
</t>
        </r>
      </text>
    </comment>
    <comment ref="C11" authorId="0" shapeId="0" xr:uid="{9472A0A4-72E0-4B8F-B549-12A5A7C88366}">
      <text>
        <r>
          <rPr>
            <b/>
            <sz val="9"/>
            <color indexed="81"/>
            <rFont val="Tahoma"/>
            <family val="2"/>
          </rPr>
          <t xml:space="preserve">jx:area(lastCell="H11")
jx:each (items="claimVO.claimSummary" var="summary" lastCell="H11" select="summary.budgetCategory.code == 'EOM'")
</t>
        </r>
      </text>
    </comment>
    <comment ref="A12" authorId="0" shapeId="0" xr:uid="{B6457230-9EA9-4E2C-832F-C65D5DEDF7F3}">
      <text>
        <r>
          <rPr>
            <b/>
            <sz val="9"/>
            <color indexed="81"/>
            <rFont val="Tahoma"/>
            <family val="2"/>
          </rPr>
          <t xml:space="preserve">jx:area(lastCell="A12")
</t>
        </r>
      </text>
    </comment>
    <comment ref="C12" authorId="0" shapeId="0" xr:uid="{D06B6809-4CBD-4A30-A565-00FA6BF4517B}">
      <text>
        <r>
          <rPr>
            <b/>
            <sz val="9"/>
            <color indexed="81"/>
            <rFont val="Tahoma"/>
            <family val="2"/>
          </rPr>
          <t xml:space="preserve">jx:area(lastCell="H12")
jx:each (items="claimVO.claimSummary" var="summary" lastCell="H12" select="summary.budgetCategory.code == 'EQT'")
</t>
        </r>
      </text>
    </comment>
    <comment ref="A13" authorId="0" shapeId="0" xr:uid="{31BBD88A-8D85-47BA-898E-A9A16CA2949F}">
      <text>
        <r>
          <rPr>
            <b/>
            <sz val="9"/>
            <color indexed="81"/>
            <rFont val="Tahoma"/>
            <family val="2"/>
          </rPr>
          <t xml:space="preserve">jx:area(lastCell="A13")
</t>
        </r>
      </text>
    </comment>
    <comment ref="C13" authorId="0" shapeId="0" xr:uid="{EA4C5F0C-EDC5-4161-82E9-61939503EC49}">
      <text>
        <r>
          <rPr>
            <b/>
            <sz val="9"/>
            <color indexed="81"/>
            <rFont val="Tahoma"/>
            <family val="2"/>
          </rPr>
          <t xml:space="preserve">jx:area(lastCell="H13")
</t>
        </r>
      </text>
    </comment>
    <comment ref="A14" authorId="0" shapeId="0" xr:uid="{82E52923-F3CC-468D-A4B9-75398428CBFA}">
      <text>
        <r>
          <rPr>
            <b/>
            <sz val="9"/>
            <color indexed="81"/>
            <rFont val="Tahoma"/>
            <family val="2"/>
          </rPr>
          <t xml:space="preserve">jx:area(lastCell="A14")
</t>
        </r>
      </text>
    </comment>
    <comment ref="C14" authorId="0" shapeId="0" xr:uid="{D60C45C2-E30A-461B-A798-60E085222710}">
      <text>
        <r>
          <rPr>
            <b/>
            <sz val="9"/>
            <color indexed="81"/>
            <rFont val="Tahoma"/>
            <family val="2"/>
          </rPr>
          <t>jx:area(lastCell="H14")
jx:each (items="claimVO.claimSummary" var="summary" lastCell="H14" select="summary.budgetCategory.code == 'OST'")</t>
        </r>
      </text>
    </comment>
    <comment ref="A15" authorId="0" shapeId="0" xr:uid="{9333D3C8-10FD-430C-832B-24C171800A61}">
      <text>
        <r>
          <rPr>
            <b/>
            <sz val="9"/>
            <color indexed="81"/>
            <rFont val="Tahoma"/>
            <family val="2"/>
          </rPr>
          <t>jx:area(lastCell="A15")</t>
        </r>
      </text>
    </comment>
    <comment ref="C15" authorId="0" shapeId="0" xr:uid="{A5833B5F-014F-4146-8B9A-D61ADB0328BA}">
      <text>
        <r>
          <rPr>
            <b/>
            <sz val="9"/>
            <color indexed="81"/>
            <rFont val="Tahoma"/>
            <family val="2"/>
          </rPr>
          <t xml:space="preserve">jx:area(lastCell="H15")
jx:each (items="claimVO.claimSummary" var="summary" lastCell="H15" select="summary.budgetCategory.code == 'RSS'")
</t>
        </r>
      </text>
    </comment>
    <comment ref="A16" authorId="0" shapeId="0" xr:uid="{5FEC6385-C4C3-460E-A10D-251EB065F5E7}">
      <text>
        <r>
          <rPr>
            <b/>
            <sz val="9"/>
            <color indexed="81"/>
            <rFont val="Tahoma"/>
            <family val="2"/>
          </rPr>
          <t>jx:area(lastCell="H49")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<sst xmlns="http://schemas.openxmlformats.org/spreadsheetml/2006/main" count="144" uniqueCount="61">
  <si>
    <t>CERTIFICATION</t>
  </si>
  <si>
    <t>(signature)</t>
  </si>
  <si>
    <t>CONSOLIDATED STATEMENT</t>
  </si>
  <si>
    <t>(a)</t>
  </si>
  <si>
    <t>(b)</t>
  </si>
  <si>
    <t>(c) = (a) - (b)</t>
  </si>
  <si>
    <t>(d)</t>
  </si>
  <si>
    <t>(e) = (d) - (c)</t>
  </si>
  <si>
    <t>Net Funds to be Received</t>
  </si>
  <si>
    <t xml:space="preserve">We hereby certify that the particulars provided above are true and correct, and verified against the original source documents. </t>
  </si>
  <si>
    <t>The request has also been made in accordance to the NR Fund Guide.</t>
  </si>
  <si>
    <t>(signature &amp; Date)</t>
  </si>
  <si>
    <t># Enclosed Bank Statement</t>
  </si>
  <si>
    <t>Please credit the fund to:</t>
  </si>
  <si>
    <t>Bank Name:</t>
  </si>
  <si>
    <t>Bank A/C Holder Name:</t>
  </si>
  <si>
    <t>Bank A/C No.:</t>
  </si>
  <si>
    <t>Cumulative received 
as at</t>
  </si>
  <si>
    <t xml:space="preserve">Cumulative Expenditure 
as at </t>
  </si>
  <si>
    <t xml:space="preserve">Actual Fund Balance 
as at </t>
  </si>
  <si>
    <t>Total Actual Expenditure 
incurred</t>
  </si>
  <si>
    <t>Expenditure incurred in the last quarter</t>
  </si>
  <si>
    <t xml:space="preserve">(c) </t>
  </si>
  <si>
    <t>Balance Funds To Be Returned to NRF / 
(To Be Disbursed)</t>
  </si>
  <si>
    <t>Funds to be Credited/Disbursed</t>
  </si>
  <si>
    <t xml:space="preserve">(d) = (b) + (c) </t>
  </si>
  <si>
    <t xml:space="preserve">(e) = (a) - (d) </t>
  </si>
  <si>
    <t># Enclose Bank Statement</t>
  </si>
  <si>
    <t>Project Code</t>
  </si>
  <si>
    <t>Project Description</t>
  </si>
  <si>
    <t>Project Committed Budget</t>
  </si>
  <si>
    <t>Name of Programme:</t>
  </si>
  <si>
    <t>NATIONAL RESEARCH FUND FINAL STATEMENT OF ACCOUNT FOR PROJECT</t>
  </si>
  <si>
    <t>NATIONAL RESEARCH FUND DRAWDOWN FOR PROJECT - Reimbursement</t>
  </si>
  <si>
    <t>TRANS Lab SPIRIT Phase 2</t>
  </si>
  <si>
    <t>${claimVO.claimStartAndEndYear}</t>
  </si>
  <si>
    <t>${claimVO.claim.foName}</t>
  </si>
  <si>
    <t xml:space="preserve">${claimVO.claim.payeeBank}  </t>
  </si>
  <si>
    <t>${claimVO.claim.payeeAccountName}</t>
  </si>
  <si>
    <t>${claimVO.claim.payeeAccountNumber}</t>
  </si>
  <si>
    <t>${claimVO.claim.award.sponsorAwardNumber}</t>
  </si>
  <si>
    <t>Manpower (EOM)</t>
  </si>
  <si>
    <t>Equipment (EQP)</t>
  </si>
  <si>
    <t>Other Operating Expenses (OOE)</t>
  </si>
  <si>
    <t>Overseas Travel (OT)</t>
  </si>
  <si>
    <t>Research Scholarship (RS)</t>
  </si>
  <si>
    <t>${summary.originalApprovedBudget}</t>
  </si>
  <si>
    <t>${summary.prevClaimsTotalAmount}</t>
  </si>
  <si>
    <t>${summary.amountRequested}</t>
  </si>
  <si>
    <t xml:space="preserve">FOR THE MONTHS OF </t>
  </si>
  <si>
    <t># Less Bank interest earned for ${claimVO.claimStartAndEndYear} (if applicable)</t>
  </si>
  <si>
    <t>${claimVO.lastClaimEndDate}</t>
  </si>
  <si>
    <t>${claimVO.summaryOOE_MACSumValues.originalApprovedBudgetForOOEMAC}</t>
  </si>
  <si>
    <t>${claimVO.summaryOOE_MACSumValues.prevClaimsTotalAmountForOOEMAC}</t>
  </si>
  <si>
    <t>${claimVO.summaryOOE_MACSumValues.amountRequestedForOOEMAC}</t>
  </si>
  <si>
    <t xml:space="preserve"> ${claimVO.claim.rsoName}</t>
  </si>
  <si>
    <t>Date :${claimVO.claimRSOApprovalDate}</t>
  </si>
  <si>
    <t>Date : ${claimVO.claimRSOApprovalDate}</t>
  </si>
  <si>
    <t>${summary.totalExpenseIncuredUptoPeriod}</t>
  </si>
  <si>
    <t>Actual Expenditure for</t>
  </si>
  <si>
    <t>Indirect Costs(${claimVO.oHPercentage}%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</si>
</sst>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/mmm/yyyy;@"/>
    <numFmt numFmtId="165" formatCode="#,##0.00;[Black]\ \ \-\ #,##0.00"/>
    <numFmt numFmtId="166" formatCode="[$-14009]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11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wrapText="1"/>
    </xf>
    <xf numFmtId="43" fontId="4" fillId="0" borderId="2" xfId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7" fontId="8" fillId="0" borderId="1" xfId="1" applyNumberFormat="1" applyFont="1" applyBorder="1" applyAlignment="1">
      <alignment horizontal="center" wrapText="1"/>
    </xf>
    <xf numFmtId="0" fontId="8" fillId="0" borderId="0" xfId="0" applyFont="1"/>
    <xf numFmtId="43" fontId="8" fillId="0" borderId="0" xfId="1" applyFont="1" applyAlignment="1">
      <alignment horizontal="right" vertical="top" wrapText="1"/>
    </xf>
    <xf numFmtId="43" fontId="8" fillId="0" borderId="0" xfId="1" applyFont="1" applyAlignment="1">
      <alignment horizontal="center" vertical="top" wrapText="1"/>
    </xf>
    <xf numFmtId="43" fontId="8" fillId="0" borderId="0" xfId="1" quotePrefix="1" applyFont="1" applyAlignment="1">
      <alignment horizontal="center" vertical="top" wrapText="1"/>
    </xf>
    <xf numFmtId="39" fontId="8" fillId="0" borderId="0" xfId="1" applyNumberFormat="1" applyFont="1" applyAlignment="1">
      <alignment horizontal="right" vertical="top" wrapText="1"/>
    </xf>
    <xf numFmtId="39" fontId="8" fillId="0" borderId="0" xfId="1" applyNumberFormat="1" applyFont="1" applyBorder="1" applyAlignment="1">
      <alignment horizontal="right" vertical="top" wrapText="1"/>
    </xf>
    <xf numFmtId="39" fontId="8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164" fontId="5" fillId="0" borderId="0" xfId="0" applyNumberFormat="1" applyFont="1" applyAlignment="1">
      <alignment horizontal="left"/>
    </xf>
    <xf numFmtId="0" fontId="5" fillId="0" borderId="0" xfId="0" quotePrefix="1" applyFont="1"/>
    <xf numFmtId="0" fontId="7" fillId="0" borderId="0" xfId="0" applyFont="1"/>
    <xf numFmtId="0" fontId="5" fillId="0" borderId="0" xfId="0" applyFont="1" applyAlignment="1">
      <alignment vertical="center"/>
    </xf>
    <xf numFmtId="17" fontId="2" fillId="0" borderId="1" xfId="1" quotePrefix="1" applyNumberFormat="1" applyFont="1" applyBorder="1" applyAlignment="1">
      <alignment horizontal="center" wrapText="1"/>
    </xf>
    <xf numFmtId="43" fontId="2" fillId="0" borderId="0" xfId="1" applyFont="1" applyAlignment="1">
      <alignment horizontal="center" vertical="top" wrapText="1"/>
    </xf>
    <xf numFmtId="43" fontId="2" fillId="0" borderId="0" xfId="1" quotePrefix="1" applyFont="1" applyAlignment="1">
      <alignment horizontal="center" vertical="top" wrapText="1"/>
    </xf>
    <xf numFmtId="39" fontId="2" fillId="0" borderId="0" xfId="0" applyNumberFormat="1" applyFont="1" applyAlignment="1">
      <alignment horizontal="right"/>
    </xf>
    <xf numFmtId="39" fontId="8" fillId="0" borderId="0" xfId="1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8" fillId="0" borderId="1" xfId="0" applyFont="1" applyBorder="1" applyAlignment="1">
      <alignment horizontal="left"/>
    </xf>
    <xf numFmtId="43" fontId="8" fillId="0" borderId="1" xfId="1" applyFont="1" applyFill="1" applyBorder="1" applyAlignment="1">
      <alignment horizontal="right" vertical="top" wrapText="1"/>
    </xf>
    <xf numFmtId="43" fontId="8" fillId="0" borderId="1" xfId="1" applyFont="1" applyBorder="1" applyAlignment="1">
      <alignment horizontal="right" vertical="top" wrapText="1"/>
    </xf>
    <xf numFmtId="0" fontId="5" fillId="0" borderId="0" xfId="4" applyFont="1" applyAlignment="1">
      <alignment horizontal="left" vertical="center"/>
    </xf>
    <xf numFmtId="0" fontId="5" fillId="0" borderId="0" xfId="4" quotePrefix="1" applyFont="1" applyAlignment="1">
      <alignment horizontal="left" vertical="center"/>
    </xf>
    <xf numFmtId="4" fontId="8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166" fontId="2" fillId="0" borderId="1" xfId="1" quotePrefix="1" applyNumberFormat="1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quotePrefix="1" applyFont="1" applyAlignment="1">
      <alignment horizontal="left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8" fillId="0" borderId="0" xfId="1" applyNumberFormat="1" applyFont="1" applyBorder="1" applyAlignment="1">
      <alignment horizontal="right" vertical="center"/>
    </xf>
    <xf numFmtId="43" fontId="8" fillId="0" borderId="1" xfId="0" applyNumberFormat="1" applyFont="1" applyBorder="1" applyAlignment="1">
      <alignment horizontal="right" vertical="center"/>
    </xf>
    <xf numFmtId="39" fontId="8" fillId="0" borderId="1" xfId="0" applyNumberFormat="1" applyFont="1" applyBorder="1" applyAlignment="1">
      <alignment horizontal="right"/>
    </xf>
    <xf numFmtId="0" fontId="0" fillId="0" borderId="1" xfId="0" applyBorder="1"/>
    <xf numFmtId="165" fontId="8" fillId="0" borderId="1" xfId="0" applyNumberFormat="1" applyFont="1" applyBorder="1" applyAlignment="1">
      <alignment horizontal="right" vertical="center"/>
    </xf>
    <xf numFmtId="4" fontId="0" fillId="0" borderId="0" xfId="1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2" fillId="0" borderId="0" xfId="1" applyNumberFormat="1" applyFont="1" applyAlignment="1">
      <alignment horizontal="right" vertical="center"/>
    </xf>
    <xf numFmtId="4" fontId="8" fillId="0" borderId="0" xfId="1" applyNumberFormat="1" applyFont="1" applyAlignment="1">
      <alignment horizontal="right" vertical="center"/>
    </xf>
    <xf numFmtId="4" fontId="8" fillId="0" borderId="3" xfId="1" applyNumberFormat="1" applyFont="1" applyBorder="1" applyAlignment="1">
      <alignment horizontal="right" vertical="center"/>
    </xf>
    <xf numFmtId="4" fontId="2" fillId="0" borderId="0" xfId="1" applyNumberFormat="1" applyFont="1" applyFill="1" applyAlignment="1">
      <alignment vertical="center" wrapText="1"/>
    </xf>
    <xf numFmtId="4" fontId="8" fillId="0" borderId="0" xfId="1" applyNumberFormat="1" applyFont="1" applyAlignment="1">
      <alignment horizontal="right" vertical="center" wrapText="1"/>
    </xf>
    <xf numFmtId="4" fontId="8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3" fontId="4" fillId="0" borderId="2" xfId="1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Normal 4" xfId="4" xr:uid="{8A040E18-DDA0-49D9-88E6-87E4ADDDF4FF}"/>
  </cellStyles>
  <dxfs count="2"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abSelected="1" zoomScale="80" zoomScaleNormal="80" workbookViewId="0">
      <selection activeCell="G16" sqref="G16"/>
    </sheetView>
  </sheetViews>
  <sheetFormatPr defaultColWidth="8.85546875" defaultRowHeight="15" x14ac:dyDescent="0.25"/>
  <cols>
    <col min="1" max="1" width="25.85546875" customWidth="1"/>
    <col min="2" max="2" width="34.85546875" bestFit="1" customWidth="1"/>
    <col min="3" max="7" width="25.85546875" customWidth="1"/>
    <col min="8" max="8" width="29.85546875" customWidth="1"/>
    <col min="9" max="11" width="25.85546875" customWidth="1"/>
  </cols>
  <sheetData>
    <row r="1" spans="1:11" ht="15.75" x14ac:dyDescent="0.25">
      <c r="A1" s="1" t="s">
        <v>31</v>
      </c>
      <c r="B1" s="1" t="s">
        <v>34</v>
      </c>
    </row>
    <row r="2" spans="1:11" ht="15.75" x14ac:dyDescent="0.25">
      <c r="A2" s="1"/>
    </row>
    <row r="3" spans="1:11" ht="15.75" x14ac:dyDescent="0.25">
      <c r="A3" s="2" t="s">
        <v>33</v>
      </c>
      <c r="B3" s="2"/>
      <c r="C3" s="2"/>
      <c r="D3" s="2"/>
    </row>
    <row r="4" spans="1:11" ht="15.75" x14ac:dyDescent="0.25">
      <c r="A4" s="2" t="s">
        <v>49</v>
      </c>
      <c r="B4" s="2" t="s">
        <v>35</v>
      </c>
      <c r="C4" s="2"/>
      <c r="D4" s="2"/>
    </row>
    <row r="5" spans="1:11" ht="15.75" x14ac:dyDescent="0.25">
      <c r="A5" s="3"/>
      <c r="B5" s="3"/>
      <c r="C5" s="3"/>
      <c r="D5" s="3"/>
    </row>
    <row r="6" spans="1:11" ht="15.75" x14ac:dyDescent="0.25">
      <c r="A6" s="2" t="s">
        <v>2</v>
      </c>
      <c r="B6" s="2"/>
      <c r="C6" s="2"/>
      <c r="D6" s="2"/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26.25" x14ac:dyDescent="0.25">
      <c r="A8" s="5" t="s">
        <v>28</v>
      </c>
      <c r="B8" s="5" t="s">
        <v>29</v>
      </c>
      <c r="C8" s="6" t="s">
        <v>30</v>
      </c>
      <c r="D8" s="6" t="s">
        <v>17</v>
      </c>
      <c r="E8" s="6" t="s">
        <v>18</v>
      </c>
      <c r="F8" s="6" t="s">
        <v>19</v>
      </c>
      <c r="G8" s="59" t="s">
        <v>59</v>
      </c>
      <c r="H8" s="6" t="s">
        <v>24</v>
      </c>
    </row>
    <row r="9" spans="1:11" ht="26.25" x14ac:dyDescent="0.25">
      <c r="A9" s="7"/>
      <c r="B9" s="7"/>
      <c r="C9" s="7"/>
      <c r="D9" s="36" t="s">
        <v>51</v>
      </c>
      <c r="E9" s="36" t="s">
        <v>51</v>
      </c>
      <c r="F9" s="36" t="s">
        <v>51</v>
      </c>
      <c r="G9" s="23" t="s">
        <v>35</v>
      </c>
      <c r="H9" s="23" t="s">
        <v>35</v>
      </c>
    </row>
    <row r="10" spans="1:11" x14ac:dyDescent="0.25">
      <c r="A10" s="9"/>
      <c r="B10" s="9"/>
      <c r="C10" s="9"/>
      <c r="D10" s="11" t="s">
        <v>3</v>
      </c>
      <c r="E10" s="11" t="s">
        <v>4</v>
      </c>
      <c r="F10" s="12" t="s">
        <v>5</v>
      </c>
      <c r="G10" s="11" t="s">
        <v>6</v>
      </c>
      <c r="H10" s="12" t="s">
        <v>7</v>
      </c>
    </row>
    <row r="11" spans="1:11" x14ac:dyDescent="0.25">
      <c r="A11" s="38" t="s">
        <v>40</v>
      </c>
      <c r="B11" s="32" t="s">
        <v>41</v>
      </c>
      <c r="C11" s="35" t="s">
        <v>46</v>
      </c>
      <c r="D11" s="50" t="s">
        <v>47</v>
      </c>
      <c r="E11" s="51" t="s">
        <v>47</v>
      </c>
      <c r="F11" s="51" t="e">
        <f>D11-E11</f>
        <v>#VALUE!</v>
      </c>
      <c r="G11" s="50" t="s">
        <v>48</v>
      </c>
      <c r="H11" s="50" t="e">
        <f>+G11-F11</f>
        <v>#VALUE!</v>
      </c>
      <c r="I11" s="13"/>
      <c r="J11" s="13"/>
      <c r="K11" s="13"/>
    </row>
    <row r="12" spans="1:11" x14ac:dyDescent="0.25">
      <c r="A12" s="39" t="s">
        <v>40</v>
      </c>
      <c r="B12" s="32" t="s">
        <v>42</v>
      </c>
      <c r="C12" s="34" t="s">
        <v>46</v>
      </c>
      <c r="D12" s="50" t="s">
        <v>47</v>
      </c>
      <c r="E12" s="51" t="s">
        <v>47</v>
      </c>
      <c r="F12" s="51" t="e">
        <f t="shared" ref="F12:F15" si="0">D12-E12</f>
        <v>#VALUE!</v>
      </c>
      <c r="G12" s="50" t="s">
        <v>48</v>
      </c>
      <c r="H12" s="50" t="e">
        <f>+G12-F12</f>
        <v>#VALUE!</v>
      </c>
      <c r="I12" s="13"/>
      <c r="J12" s="14"/>
      <c r="K12" s="13"/>
    </row>
    <row r="13" spans="1:11" x14ac:dyDescent="0.25">
      <c r="A13" s="40" t="s">
        <v>40</v>
      </c>
      <c r="B13" s="32" t="s">
        <v>43</v>
      </c>
      <c r="C13" s="35" t="s">
        <v>52</v>
      </c>
      <c r="D13" s="50" t="s">
        <v>53</v>
      </c>
      <c r="E13" s="51" t="s">
        <v>53</v>
      </c>
      <c r="F13" s="51" t="e">
        <f t="shared" si="0"/>
        <v>#VALUE!</v>
      </c>
      <c r="G13" s="50" t="s">
        <v>54</v>
      </c>
      <c r="H13" s="50" t="e">
        <f t="shared" ref="H13:H14" si="1">+G13-F13</f>
        <v>#VALUE!</v>
      </c>
    </row>
    <row r="14" spans="1:11" x14ac:dyDescent="0.25">
      <c r="A14" s="40" t="s">
        <v>40</v>
      </c>
      <c r="B14" s="33" t="s">
        <v>44</v>
      </c>
      <c r="C14" s="34" t="s">
        <v>46</v>
      </c>
      <c r="D14" s="50" t="s">
        <v>47</v>
      </c>
      <c r="E14" s="51" t="s">
        <v>47</v>
      </c>
      <c r="F14" s="51" t="e">
        <f t="shared" si="0"/>
        <v>#VALUE!</v>
      </c>
      <c r="G14" s="50" t="s">
        <v>48</v>
      </c>
      <c r="H14" s="50" t="e">
        <f t="shared" si="1"/>
        <v>#VALUE!</v>
      </c>
    </row>
    <row r="15" spans="1:11" x14ac:dyDescent="0.25">
      <c r="A15" s="40" t="s">
        <v>40</v>
      </c>
      <c r="B15" s="33" t="s">
        <v>45</v>
      </c>
      <c r="C15" s="34" t="s">
        <v>46</v>
      </c>
      <c r="D15" s="50" t="s">
        <v>47</v>
      </c>
      <c r="E15" s="51" t="s">
        <v>47</v>
      </c>
      <c r="F15" s="51" t="e">
        <f t="shared" si="0"/>
        <v>#VALUE!</v>
      </c>
      <c r="G15" s="50" t="s">
        <v>48</v>
      </c>
      <c r="H15" s="50" t="e">
        <f>+G15-F15</f>
        <v>#VALUE!</v>
      </c>
    </row>
    <row r="16" spans="1:11" x14ac:dyDescent="0.25">
      <c r="A16" s="9"/>
      <c r="B16" s="37" t="s">
        <v>60</v>
      </c>
      <c r="C16" s="52" cm="1">
        <f t="array" aca="1" ref="C16" ca="1">ROUND(SUM(C11:C15)*SUMPRODUCT(MID(0&amp;B16, LARGE(INDEX(ISNUMBER(--MID(B16, ROW(INDIRECT("1:"&amp;LEN(B16))), 1)) * ROW(INDIRECT("1:"&amp;LEN(B16))), 0), ROW(INDIRECT("1:"&amp;LEN(B16))))+1, 1) * 10^ROW(INDIRECT("1:"&amp;LEN(B16)))/10)%, 2)</f>
        <v>0</v>
      </c>
      <c r="D16" s="52" cm="1">
        <f t="array" aca="1" ref="D16" ca="1">ROUND(SUM(D11:D15)*SUMPRODUCT(MID(0&amp;B16, LARGE(INDEX(ISNUMBER(--MID(B16, ROW(INDIRECT("1:"&amp;LEN(B16))), 1)) * ROW(INDIRECT("1:"&amp;LEN(B16))), 0), ROW(INDIRECT("1:"&amp;LEN(B16))))+1, 1) * 10^ROW(INDIRECT("1:"&amp;LEN(B16)))/10)%, 2)</f>
        <v>0</v>
      </c>
      <c r="E16" s="52" cm="1">
        <f t="array" aca="1" ref="E16" ca="1">ROUND(SUM(E11:E15)*SUMPRODUCT(MID(0&amp;B16, LARGE(INDEX(ISNUMBER(--MID(B16, ROW(INDIRECT("1:"&amp;LEN(B16))), 1)) * ROW(INDIRECT("1:"&amp;LEN(B16))), 0), ROW(INDIRECT("1:"&amp;LEN(B16))))+1, 1) * 10^ROW(INDIRECT("1:"&amp;LEN(B16)))/10)%, 2)</f>
        <v>0</v>
      </c>
      <c r="F16" s="52" t="e" cm="1">
        <f t="array" aca="1" ref="F16" ca="1">ROUND(SUM(F11:F15)*SUMPRODUCT(MID(0&amp;B16, LARGE(INDEX(ISNUMBER(--MID(B16, ROW(INDIRECT("1:"&amp;LEN(B16))), 1)) * ROW(INDIRECT("1:"&amp;LEN(B16))), 0), ROW(INDIRECT("1:"&amp;LEN(B16))))+1, 1) * 10^ROW(INDIRECT("1:"&amp;LEN(B16)))/10)%, 2)</f>
        <v>#VALUE!</v>
      </c>
      <c r="G16" s="52" cm="1">
        <f t="array" aca="1" ref="G16" ca="1">ROUND(SUM(G11:G15)*SUMPRODUCT(MID(0&amp;B16, LARGE(INDEX(ISNUMBER(--MID(B16, ROW(INDIRECT("1:"&amp;LEN(B16))), 1)) * ROW(INDIRECT("1:"&amp;LEN(B16))), 0), ROW(INDIRECT("1:"&amp;LEN(B16))))+1, 1) * 10^ROW(INDIRECT("1:"&amp;LEN(B16)))/10)%, 2)</f>
        <v>0</v>
      </c>
      <c r="H16" s="50" t="e">
        <f ca="1">+G16-F16</f>
        <v>#VALUE!</v>
      </c>
    </row>
    <row r="17" spans="1:11" x14ac:dyDescent="0.25">
      <c r="A17" s="16"/>
      <c r="B17" s="16"/>
      <c r="C17" s="16"/>
    </row>
    <row r="18" spans="1:11" x14ac:dyDescent="0.25">
      <c r="A18" s="16"/>
      <c r="B18" s="16"/>
      <c r="C18" s="18"/>
      <c r="D18" s="29"/>
      <c r="E18" s="29"/>
      <c r="F18" s="30"/>
      <c r="G18" s="31"/>
      <c r="H18" s="31"/>
    </row>
    <row r="19" spans="1:11" x14ac:dyDescent="0.25">
      <c r="A19" s="16"/>
      <c r="B19" s="16"/>
      <c r="C19" s="53">
        <f ca="1">SUM(C11:C18)</f>
        <v>0</v>
      </c>
      <c r="D19" s="53">
        <f t="shared" ref="D19:H19" ca="1" si="2">SUM(D11:D18)</f>
        <v>0</v>
      </c>
      <c r="E19" s="53">
        <f t="shared" ca="1" si="2"/>
        <v>0</v>
      </c>
      <c r="F19" s="53" t="e">
        <f t="shared" si="2"/>
        <v>#VALUE!</v>
      </c>
      <c r="G19" s="53">
        <f t="shared" ca="1" si="2"/>
        <v>0</v>
      </c>
      <c r="H19" s="53" t="e">
        <f t="shared" si="2"/>
        <v>#VALUE!</v>
      </c>
    </row>
    <row r="20" spans="1:11" x14ac:dyDescent="0.25">
      <c r="A20" s="16"/>
      <c r="B20" s="16"/>
      <c r="C20" s="16"/>
      <c r="D20" s="9"/>
      <c r="E20" s="9"/>
      <c r="F20" s="9"/>
      <c r="G20" s="26" t="s">
        <v>50</v>
      </c>
      <c r="H20" s="27"/>
    </row>
    <row r="21" spans="1:11" ht="15.75" thickBot="1" x14ac:dyDescent="0.3">
      <c r="A21" s="16"/>
      <c r="B21" s="16"/>
      <c r="C21" s="16"/>
      <c r="D21" s="9"/>
      <c r="E21" s="9"/>
      <c r="F21" s="9"/>
      <c r="G21" s="15" t="s">
        <v>8</v>
      </c>
      <c r="H21" s="54" t="e">
        <f>H19-H20</f>
        <v>#VALUE!</v>
      </c>
    </row>
    <row r="22" spans="1:11" ht="15.75" thickTop="1" x14ac:dyDescent="0.25">
      <c r="A22" s="16"/>
      <c r="B22" s="16"/>
      <c r="C22" s="16"/>
      <c r="D22" s="16"/>
      <c r="F22" s="16"/>
      <c r="G22" s="16"/>
      <c r="H22" s="16"/>
    </row>
    <row r="23" spans="1:11" x14ac:dyDescent="0.25">
      <c r="A23" s="16"/>
      <c r="B23" s="16"/>
      <c r="C23" s="16"/>
      <c r="D23" s="16"/>
      <c r="F23" s="16"/>
      <c r="G23" s="16"/>
      <c r="H23" s="16"/>
    </row>
    <row r="24" spans="1:11" x14ac:dyDescent="0.25">
      <c r="A24" s="16"/>
      <c r="B24" s="16"/>
      <c r="C24" s="16"/>
      <c r="D24" s="16"/>
      <c r="E24" s="16"/>
      <c r="F24" s="16"/>
      <c r="G24" s="16"/>
      <c r="H24" s="16"/>
    </row>
    <row r="25" spans="1:11" x14ac:dyDescent="0.25">
      <c r="A25" s="17" t="s">
        <v>0</v>
      </c>
      <c r="B25" s="17"/>
      <c r="C25" s="17"/>
      <c r="D25" s="17"/>
      <c r="E25" s="17"/>
      <c r="F25" s="16"/>
      <c r="G25" s="28" t="s">
        <v>27</v>
      </c>
      <c r="H25" s="16"/>
    </row>
    <row r="26" spans="1:11" x14ac:dyDescent="0.25">
      <c r="A26" s="16" t="s">
        <v>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x14ac:dyDescent="0.25">
      <c r="A27" s="16" t="s">
        <v>10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x14ac:dyDescent="0.25">
      <c r="A31" s="18"/>
      <c r="B31" s="18"/>
      <c r="C31" s="18"/>
      <c r="D31" s="18"/>
      <c r="E31" s="18"/>
      <c r="F31" s="16"/>
      <c r="G31" s="16"/>
      <c r="H31" s="16"/>
      <c r="I31" s="16"/>
      <c r="J31" s="16"/>
      <c r="K31" s="16"/>
    </row>
    <row r="32" spans="1:11" x14ac:dyDescent="0.25">
      <c r="A32" s="16" t="s">
        <v>11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x14ac:dyDescent="0.25">
      <c r="A33" s="16" t="s">
        <v>36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x14ac:dyDescent="0.25">
      <c r="A36" s="18"/>
      <c r="B36" s="18"/>
      <c r="C36" s="18"/>
      <c r="D36" s="18"/>
      <c r="E36" s="18"/>
      <c r="F36" s="16"/>
      <c r="G36" s="16"/>
      <c r="H36" s="16"/>
      <c r="I36" s="16"/>
      <c r="J36" s="16"/>
      <c r="K36" s="16"/>
    </row>
    <row r="37" spans="1:11" x14ac:dyDescent="0.25">
      <c r="A37" s="16" t="s">
        <v>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x14ac:dyDescent="0.25">
      <c r="A38" s="16" t="s">
        <v>55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x14ac:dyDescent="0.25">
      <c r="A40" s="19" t="s">
        <v>56</v>
      </c>
      <c r="B40" s="19"/>
      <c r="C40" s="19"/>
      <c r="D40" s="19"/>
      <c r="E40" s="19"/>
      <c r="F40" s="16"/>
      <c r="G40" s="16"/>
      <c r="H40" s="16"/>
      <c r="I40" s="16"/>
      <c r="J40" s="16"/>
      <c r="K40" s="16"/>
    </row>
    <row r="41" spans="1:1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x14ac:dyDescent="0.25">
      <c r="A42" s="16" t="s">
        <v>12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x14ac:dyDescent="0.25">
      <c r="A43" s="20"/>
      <c r="B43" s="20"/>
      <c r="C43" s="20"/>
      <c r="D43" s="20"/>
      <c r="E43" s="20"/>
      <c r="F43" s="16"/>
      <c r="G43" s="16"/>
      <c r="H43" s="16"/>
      <c r="I43" s="16"/>
      <c r="J43" s="16"/>
      <c r="K43" s="16"/>
    </row>
    <row r="44" spans="1:11" x14ac:dyDescent="0.25">
      <c r="A44" s="21" t="s">
        <v>13</v>
      </c>
      <c r="B44" s="21"/>
      <c r="C44" s="21"/>
      <c r="D44" s="21"/>
      <c r="E44" s="21"/>
      <c r="F44" s="16"/>
      <c r="G44" s="16"/>
      <c r="H44" s="16"/>
      <c r="I44" s="16"/>
      <c r="J44" s="16"/>
      <c r="K44" s="16"/>
    </row>
    <row r="45" spans="1:1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 x14ac:dyDescent="0.25">
      <c r="A46" s="60" t="s">
        <v>14</v>
      </c>
      <c r="B46" s="60"/>
      <c r="C46" s="60"/>
      <c r="D46" s="60"/>
      <c r="E46" s="60"/>
      <c r="F46" s="22" t="s">
        <v>37</v>
      </c>
      <c r="G46" s="22"/>
      <c r="H46" s="22"/>
      <c r="I46" s="16"/>
      <c r="J46" s="16"/>
      <c r="K46" s="16"/>
    </row>
    <row r="47" spans="1:11" x14ac:dyDescent="0.25">
      <c r="A47" s="60" t="s">
        <v>15</v>
      </c>
      <c r="B47" s="60"/>
      <c r="C47" s="60"/>
      <c r="D47" s="60"/>
      <c r="E47" s="60"/>
      <c r="F47" s="22" t="s">
        <v>38</v>
      </c>
      <c r="G47" s="22"/>
      <c r="H47" s="22"/>
      <c r="I47" s="16"/>
      <c r="J47" s="16"/>
      <c r="K47" s="16"/>
    </row>
    <row r="48" spans="1:11" x14ac:dyDescent="0.25">
      <c r="A48" s="60" t="s">
        <v>16</v>
      </c>
      <c r="B48" s="60"/>
      <c r="C48" s="60"/>
      <c r="D48" s="60"/>
      <c r="E48" s="60"/>
      <c r="F48" s="22" t="s">
        <v>39</v>
      </c>
      <c r="G48" s="22"/>
      <c r="H48" s="22"/>
      <c r="I48" s="16"/>
      <c r="J48" s="16"/>
      <c r="K48" s="16"/>
    </row>
  </sheetData>
  <mergeCells count="3">
    <mergeCell ref="A46:E46"/>
    <mergeCell ref="A47:E47"/>
    <mergeCell ref="A48:E48"/>
  </mergeCells>
  <conditionalFormatting sqref="C11:H16">
    <cfRule type="containsBlanks" dxfId="1" priority="1">
      <formula>LEN(TRIM(C11))=0</formula>
    </cfRule>
  </conditionalFormatting>
  <pageMargins left="0.25" right="0.25" top="0.75" bottom="0.75" header="0.3" footer="0.3"/>
  <pageSetup paperSize="9" scale="6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8"/>
  <sheetViews>
    <sheetView topLeftCell="A11" zoomScale="90" zoomScaleNormal="90" workbookViewId="0">
      <selection activeCell="G18" sqref="G18"/>
    </sheetView>
  </sheetViews>
  <sheetFormatPr defaultColWidth="8.85546875" defaultRowHeight="15" x14ac:dyDescent="0.25"/>
  <cols>
    <col min="1" max="1" width="25.85546875" customWidth="1"/>
    <col min="2" max="2" width="30" customWidth="1"/>
    <col min="3" max="4" width="15.85546875" customWidth="1"/>
    <col min="5" max="11" width="25.85546875" customWidth="1"/>
    <col min="12" max="12" width="26.140625" customWidth="1"/>
  </cols>
  <sheetData>
    <row r="1" spans="1:11" ht="15.75" x14ac:dyDescent="0.25">
      <c r="A1" s="1" t="s">
        <v>31</v>
      </c>
      <c r="B1" s="1" t="s">
        <v>34</v>
      </c>
    </row>
    <row r="2" spans="1:11" ht="15.75" x14ac:dyDescent="0.25">
      <c r="A2" s="1"/>
    </row>
    <row r="3" spans="1:11" ht="15.75" x14ac:dyDescent="0.25">
      <c r="A3" s="2" t="s">
        <v>32</v>
      </c>
      <c r="B3" s="2"/>
      <c r="C3" s="2"/>
      <c r="D3" s="2"/>
    </row>
    <row r="4" spans="1:11" ht="15.75" x14ac:dyDescent="0.25">
      <c r="A4" s="2"/>
      <c r="B4" s="2"/>
      <c r="C4" s="2"/>
      <c r="D4" s="2"/>
    </row>
    <row r="5" spans="1:11" ht="15.75" x14ac:dyDescent="0.25">
      <c r="A5" s="3"/>
      <c r="B5" s="3"/>
      <c r="C5" s="3"/>
      <c r="D5" s="3"/>
    </row>
    <row r="6" spans="1:11" ht="15.75" x14ac:dyDescent="0.25">
      <c r="A6" s="2" t="s">
        <v>2</v>
      </c>
      <c r="B6" s="2"/>
      <c r="C6" s="2"/>
      <c r="D6" s="2"/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51" customHeight="1" x14ac:dyDescent="0.25">
      <c r="A8" s="5" t="s">
        <v>28</v>
      </c>
      <c r="B8" s="5" t="s">
        <v>29</v>
      </c>
      <c r="C8" s="6" t="s">
        <v>30</v>
      </c>
      <c r="D8" s="6" t="s">
        <v>17</v>
      </c>
      <c r="E8" s="6" t="s">
        <v>18</v>
      </c>
      <c r="F8" s="6" t="s">
        <v>21</v>
      </c>
      <c r="G8" s="6" t="s">
        <v>20</v>
      </c>
      <c r="H8" s="6" t="s">
        <v>23</v>
      </c>
    </row>
    <row r="9" spans="1:11" ht="26.25" x14ac:dyDescent="0.25">
      <c r="A9" s="7"/>
      <c r="B9" s="7"/>
      <c r="C9" s="7"/>
      <c r="D9" s="36" t="s">
        <v>51</v>
      </c>
      <c r="E9" s="36" t="s">
        <v>51</v>
      </c>
      <c r="F9" s="23" t="s">
        <v>35</v>
      </c>
      <c r="G9" s="8"/>
      <c r="H9" s="8"/>
    </row>
    <row r="10" spans="1:11" x14ac:dyDescent="0.25">
      <c r="A10" s="9"/>
      <c r="B10" s="9"/>
      <c r="C10" s="9"/>
      <c r="D10" s="11" t="s">
        <v>3</v>
      </c>
      <c r="E10" s="11" t="s">
        <v>4</v>
      </c>
      <c r="F10" s="11" t="s">
        <v>22</v>
      </c>
      <c r="G10" s="24" t="s">
        <v>25</v>
      </c>
      <c r="H10" s="25" t="s">
        <v>26</v>
      </c>
    </row>
    <row r="11" spans="1:11" ht="15" customHeight="1" x14ac:dyDescent="0.25">
      <c r="A11" s="41" t="s">
        <v>40</v>
      </c>
      <c r="B11" s="37" t="s">
        <v>41</v>
      </c>
      <c r="C11" s="35" t="s">
        <v>46</v>
      </c>
      <c r="D11" s="34" t="s">
        <v>47</v>
      </c>
      <c r="E11" s="35" t="s">
        <v>47</v>
      </c>
      <c r="F11" s="55" t="s">
        <v>58</v>
      </c>
      <c r="G11" s="56" t="e">
        <f>E11+F11</f>
        <v>#VALUE!</v>
      </c>
      <c r="H11" s="56" t="e">
        <f>D11-G11</f>
        <v>#VALUE!</v>
      </c>
      <c r="I11" s="10"/>
      <c r="J11" s="13"/>
      <c r="K11" s="13"/>
    </row>
    <row r="12" spans="1:11" ht="15" customHeight="1" x14ac:dyDescent="0.25">
      <c r="A12" s="39" t="s">
        <v>40</v>
      </c>
      <c r="B12" s="39" t="s">
        <v>42</v>
      </c>
      <c r="C12" s="57" t="s">
        <v>46</v>
      </c>
      <c r="D12" s="34" t="s">
        <v>47</v>
      </c>
      <c r="E12" s="35" t="s">
        <v>47</v>
      </c>
      <c r="F12" s="55" t="s">
        <v>58</v>
      </c>
      <c r="G12" s="56" t="e">
        <f t="shared" ref="G12:G15" si="0">E12+F12</f>
        <v>#VALUE!</v>
      </c>
      <c r="H12" s="56" t="e">
        <f t="shared" ref="H12:H16" si="1">D12-G12</f>
        <v>#VALUE!</v>
      </c>
      <c r="I12" s="10"/>
      <c r="J12" s="14"/>
      <c r="K12" s="13"/>
    </row>
    <row r="13" spans="1:11" ht="15" customHeight="1" x14ac:dyDescent="0.25">
      <c r="A13" s="40" t="s">
        <v>40</v>
      </c>
      <c r="B13" s="39" t="s">
        <v>43</v>
      </c>
      <c r="C13" s="35" t="s">
        <v>52</v>
      </c>
      <c r="D13" s="58" t="s">
        <v>53</v>
      </c>
      <c r="E13" s="58" t="s">
        <v>53</v>
      </c>
      <c r="F13" s="58" t="s">
        <v>54</v>
      </c>
      <c r="G13" s="56" t="e">
        <f t="shared" si="0"/>
        <v>#VALUE!</v>
      </c>
      <c r="H13" s="56" t="e">
        <f t="shared" si="1"/>
        <v>#VALUE!</v>
      </c>
    </row>
    <row r="14" spans="1:11" ht="15" customHeight="1" x14ac:dyDescent="0.25">
      <c r="A14" s="40" t="s">
        <v>40</v>
      </c>
      <c r="B14" s="42" t="s">
        <v>44</v>
      </c>
      <c r="C14" s="34" t="s">
        <v>46</v>
      </c>
      <c r="D14" s="34" t="s">
        <v>47</v>
      </c>
      <c r="E14" s="35" t="s">
        <v>47</v>
      </c>
      <c r="F14" s="57" t="s">
        <v>58</v>
      </c>
      <c r="G14" s="56" t="e">
        <f t="shared" si="0"/>
        <v>#VALUE!</v>
      </c>
      <c r="H14" s="56" t="e">
        <f t="shared" si="1"/>
        <v>#VALUE!</v>
      </c>
    </row>
    <row r="15" spans="1:11" ht="15" customHeight="1" x14ac:dyDescent="0.25">
      <c r="A15" s="40" t="s">
        <v>40</v>
      </c>
      <c r="B15" s="42" t="s">
        <v>45</v>
      </c>
      <c r="C15" s="34" t="s">
        <v>46</v>
      </c>
      <c r="D15" s="34" t="s">
        <v>47</v>
      </c>
      <c r="E15" s="35" t="s">
        <v>47</v>
      </c>
      <c r="F15" s="58" t="s">
        <v>58</v>
      </c>
      <c r="G15" s="56" t="e">
        <f t="shared" si="0"/>
        <v>#VALUE!</v>
      </c>
      <c r="H15" s="56" t="e">
        <f t="shared" si="1"/>
        <v>#VALUE!</v>
      </c>
    </row>
    <row r="16" spans="1:11" ht="15" customHeight="1" x14ac:dyDescent="0.25">
      <c r="A16" s="40"/>
      <c r="B16" s="42" t="s">
        <v>60</v>
      </c>
      <c r="C16" s="34" cm="1">
        <f t="array" aca="1" ref="C16" ca="1">ROUND(SUM(C11:C15)*SUMPRODUCT(MID(0&amp;B16, LARGE(INDEX(ISNUMBER(--MID(B16, ROW(INDIRECT("1:"&amp;LEN(B16))), 1)) * ROW(INDIRECT("1:"&amp;LEN(B16))), 0), ROW(INDIRECT("1:"&amp;LEN(B16))))+1, 1) * 10^ROW(INDIRECT("1:"&amp;LEN(B16)))/10)%, 2)</f>
        <v>0</v>
      </c>
      <c r="D16" s="34" cm="1">
        <f t="array" aca="1" ref="D16" ca="1">ROUND(SUM(D11:D15)*SUMPRODUCT(MID(0&amp;B16, LARGE(INDEX(ISNUMBER(--MID(B16, ROW(INDIRECT("1:"&amp;LEN(B16))), 1)) * ROW(INDIRECT("1:"&amp;LEN(B16))), 0), ROW(INDIRECT("1:"&amp;LEN(B16))))+1, 1) * 10^ROW(INDIRECT("1:"&amp;LEN(B16)))/10)%, 2)</f>
        <v>0</v>
      </c>
      <c r="E16" s="34" cm="1">
        <f t="array" aca="1" ref="E16" ca="1">ROUND(SUM(E11:E15)*SUMPRODUCT(MID(0&amp;B16, LARGE(INDEX(ISNUMBER(--MID(B16, ROW(INDIRECT("1:"&amp;LEN(B16))), 1)) * ROW(INDIRECT("1:"&amp;LEN(B16))), 0), ROW(INDIRECT("1:"&amp;LEN(B16))))+1, 1) * 10^ROW(INDIRECT("1:"&amp;LEN(B16)))/10)%, 2)</f>
        <v>0</v>
      </c>
      <c r="F16" s="34" cm="1">
        <f t="array" aca="1" ref="F16" ca="1">ROUND(SUM(F11:F15)*SUMPRODUCT(MID(0&amp;B16, LARGE(INDEX(ISNUMBER(--MID(B16, ROW(INDIRECT("1:"&amp;LEN(B16))), 1)) * ROW(INDIRECT("1:"&amp;LEN(B16))), 0), ROW(INDIRECT("1:"&amp;LEN(B16))))+1, 1) * 10^ROW(INDIRECT("1:"&amp;LEN(B16)))/10)%, 2)</f>
        <v>0</v>
      </c>
      <c r="G16" s="34" t="e" cm="1">
        <f t="array" aca="1" ref="G16" ca="1">ROUND(SUM(G11:G15)*SUMPRODUCT(MID(0&amp;B16, LARGE(INDEX(ISNUMBER(--MID(B16, ROW(INDIRECT("1:"&amp;LEN(B16))), 1)) * ROW(INDIRECT("1:"&amp;LEN(B16))), 0), ROW(INDIRECT("1:"&amp;LEN(B16))))+1, 1) * 10^ROW(INDIRECT("1:"&amp;LEN(B16)))/10)%, 2)</f>
        <v>#VALUE!</v>
      </c>
      <c r="H16" s="56" t="e">
        <f t="shared" ca="1" si="1"/>
        <v>#VALUE!</v>
      </c>
    </row>
    <row r="17" spans="1:11" x14ac:dyDescent="0.25">
      <c r="A17" s="40"/>
      <c r="B17" s="42"/>
      <c r="C17" s="46"/>
      <c r="D17" s="46"/>
      <c r="E17" s="46"/>
      <c r="F17" s="46"/>
      <c r="G17" s="47"/>
      <c r="H17" s="48"/>
    </row>
    <row r="18" spans="1:11" x14ac:dyDescent="0.25">
      <c r="A18" s="40"/>
      <c r="B18" s="42"/>
      <c r="C18" s="34">
        <f ca="1">SUM(C11:C17)</f>
        <v>0</v>
      </c>
      <c r="D18" s="34">
        <f t="shared" ref="D18:G18" ca="1" si="2">SUM(D11:D17)</f>
        <v>0</v>
      </c>
      <c r="E18" s="34">
        <f t="shared" ca="1" si="2"/>
        <v>0</v>
      </c>
      <c r="F18" s="34">
        <f t="shared" ca="1" si="2"/>
        <v>0</v>
      </c>
      <c r="G18" s="34" t="e">
        <f t="shared" si="2"/>
        <v>#VALUE!</v>
      </c>
      <c r="H18" s="51" t="e">
        <f>SUM(H11:H17)</f>
        <v>#VALUE!</v>
      </c>
    </row>
    <row r="19" spans="1:11" x14ac:dyDescent="0.25">
      <c r="A19" s="40"/>
      <c r="B19" s="42"/>
      <c r="C19" s="43"/>
      <c r="D19" s="43"/>
      <c r="E19" s="44"/>
      <c r="F19" s="40"/>
      <c r="G19" s="15" t="s">
        <v>50</v>
      </c>
      <c r="H19" s="49"/>
    </row>
    <row r="20" spans="1:11" x14ac:dyDescent="0.25">
      <c r="A20" s="40"/>
      <c r="B20" s="42"/>
      <c r="C20" s="43"/>
      <c r="D20" s="43"/>
      <c r="E20" s="44"/>
      <c r="F20" s="40"/>
      <c r="G20" s="15"/>
      <c r="H20" s="45"/>
    </row>
    <row r="21" spans="1:11" ht="15.75" thickBot="1" x14ac:dyDescent="0.3">
      <c r="A21" s="16"/>
      <c r="B21" s="16"/>
      <c r="C21" s="16"/>
      <c r="D21" s="16"/>
      <c r="E21" s="16"/>
      <c r="F21" s="16"/>
      <c r="G21" s="16" t="s">
        <v>8</v>
      </c>
      <c r="H21" s="54" t="e">
        <f>H18-H19</f>
        <v>#VALUE!</v>
      </c>
    </row>
    <row r="22" spans="1:11" ht="15.75" thickTop="1" x14ac:dyDescent="0.25">
      <c r="A22" s="16"/>
      <c r="B22" s="16"/>
      <c r="C22" s="16"/>
      <c r="D22" s="16"/>
      <c r="E22" s="16"/>
      <c r="F22" s="16"/>
      <c r="G22" s="16"/>
      <c r="H22" s="45"/>
    </row>
    <row r="23" spans="1:11" x14ac:dyDescent="0.25">
      <c r="A23" s="16"/>
      <c r="B23" s="16"/>
      <c r="C23" s="16"/>
      <c r="D23" s="16"/>
      <c r="E23" s="16"/>
      <c r="F23" s="16"/>
      <c r="G23" s="16"/>
      <c r="H23" s="45"/>
    </row>
    <row r="24" spans="1:11" x14ac:dyDescent="0.25">
      <c r="A24" s="16"/>
      <c r="B24" s="16"/>
      <c r="C24" s="16"/>
      <c r="D24" s="16"/>
      <c r="E24" s="16"/>
      <c r="F24" s="16"/>
      <c r="G24" s="28" t="s">
        <v>27</v>
      </c>
      <c r="H24" s="16"/>
    </row>
    <row r="25" spans="1:11" x14ac:dyDescent="0.25">
      <c r="A25" s="17" t="s">
        <v>0</v>
      </c>
      <c r="B25" s="17"/>
      <c r="C25" s="17"/>
      <c r="D25" s="17"/>
      <c r="E25" s="17"/>
      <c r="F25" s="16"/>
      <c r="G25" s="16"/>
      <c r="H25" s="16"/>
      <c r="I25" s="16"/>
      <c r="J25" s="16"/>
      <c r="K25" s="16"/>
    </row>
    <row r="26" spans="1:11" x14ac:dyDescent="0.25">
      <c r="A26" s="16" t="s">
        <v>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x14ac:dyDescent="0.25">
      <c r="A27" s="16" t="s">
        <v>10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x14ac:dyDescent="0.25">
      <c r="A31" s="18"/>
      <c r="B31" s="18"/>
      <c r="C31" s="18"/>
      <c r="D31" s="18"/>
      <c r="E31" s="18"/>
      <c r="F31" s="16"/>
      <c r="G31" s="16"/>
      <c r="H31" s="16"/>
      <c r="I31" s="16"/>
      <c r="J31" s="16"/>
      <c r="K31" s="16"/>
    </row>
    <row r="32" spans="1:11" x14ac:dyDescent="0.25">
      <c r="A32" s="16" t="s">
        <v>11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x14ac:dyDescent="0.25">
      <c r="A33" s="16" t="s">
        <v>36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x14ac:dyDescent="0.25">
      <c r="A36" s="18"/>
      <c r="B36" s="18"/>
      <c r="C36" s="18"/>
      <c r="D36" s="18"/>
      <c r="E36" s="18"/>
      <c r="F36" s="16"/>
      <c r="G36" s="16"/>
      <c r="H36" s="16"/>
      <c r="I36" s="16"/>
      <c r="J36" s="16"/>
      <c r="K36" s="16"/>
    </row>
    <row r="37" spans="1:11" x14ac:dyDescent="0.25">
      <c r="A37" s="16" t="s">
        <v>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x14ac:dyDescent="0.25">
      <c r="A38" s="16" t="s">
        <v>55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x14ac:dyDescent="0.25">
      <c r="A40" s="19" t="s">
        <v>57</v>
      </c>
      <c r="B40" s="19"/>
      <c r="C40" s="19"/>
      <c r="D40" s="19"/>
      <c r="E40" s="19"/>
      <c r="F40" s="16"/>
      <c r="G40" s="16"/>
      <c r="H40" s="16"/>
      <c r="I40" s="16"/>
      <c r="J40" s="16"/>
      <c r="K40" s="16"/>
    </row>
    <row r="41" spans="1:1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x14ac:dyDescent="0.25">
      <c r="A42" s="16" t="s">
        <v>12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x14ac:dyDescent="0.25">
      <c r="A43" s="20"/>
      <c r="B43" s="20"/>
      <c r="C43" s="20"/>
      <c r="D43" s="20"/>
      <c r="E43" s="20"/>
      <c r="F43" s="16"/>
      <c r="G43" s="16"/>
      <c r="H43" s="16"/>
      <c r="I43" s="16"/>
      <c r="J43" s="16"/>
      <c r="K43" s="16"/>
    </row>
    <row r="44" spans="1:11" x14ac:dyDescent="0.25">
      <c r="A44" s="21" t="s">
        <v>13</v>
      </c>
      <c r="B44" s="21"/>
      <c r="C44" s="21"/>
      <c r="D44" s="21"/>
      <c r="E44" s="21"/>
      <c r="F44" s="16"/>
      <c r="G44" s="16"/>
      <c r="H44" s="16"/>
      <c r="I44" s="16"/>
      <c r="J44" s="16"/>
      <c r="K44" s="16"/>
    </row>
    <row r="45" spans="1:1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 x14ac:dyDescent="0.25">
      <c r="A46" s="60" t="s">
        <v>14</v>
      </c>
      <c r="B46" s="60"/>
      <c r="C46" s="60"/>
      <c r="D46" s="60"/>
      <c r="E46" s="60"/>
      <c r="F46" s="22" t="s">
        <v>37</v>
      </c>
      <c r="G46" s="22"/>
      <c r="H46" s="22"/>
      <c r="I46" s="22"/>
      <c r="J46" s="16"/>
      <c r="K46" s="16"/>
    </row>
    <row r="47" spans="1:11" x14ac:dyDescent="0.25">
      <c r="A47" s="60" t="s">
        <v>15</v>
      </c>
      <c r="B47" s="60"/>
      <c r="C47" s="60"/>
      <c r="D47" s="60"/>
      <c r="E47" s="60"/>
      <c r="F47" s="22" t="s">
        <v>38</v>
      </c>
      <c r="G47" s="22"/>
      <c r="H47" s="22"/>
      <c r="I47" s="22"/>
      <c r="J47" s="16"/>
      <c r="K47" s="16"/>
    </row>
    <row r="48" spans="1:11" x14ac:dyDescent="0.25">
      <c r="A48" s="60" t="s">
        <v>16</v>
      </c>
      <c r="B48" s="60"/>
      <c r="C48" s="60"/>
      <c r="D48" s="60"/>
      <c r="E48" s="60"/>
      <c r="F48" s="22" t="s">
        <v>39</v>
      </c>
      <c r="G48" s="22"/>
      <c r="H48" s="22"/>
      <c r="I48" s="22"/>
      <c r="J48" s="16"/>
      <c r="K48" s="16"/>
    </row>
  </sheetData>
  <mergeCells count="3">
    <mergeCell ref="A46:E46"/>
    <mergeCell ref="A47:E47"/>
    <mergeCell ref="A48:E48"/>
  </mergeCells>
  <conditionalFormatting sqref="C11:H16">
    <cfRule type="containsBlanks" dxfId="0" priority="1">
      <formula>LEN(TRIM(C11))=0</formula>
    </cfRule>
  </conditionalFormatting>
  <pageMargins left="0.25" right="0.25" top="0.75" bottom="0.75" header="0.3" footer="0.3"/>
  <pageSetup paperSize="9" scale="7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Drawdown</vt:lpstr>
      <vt:lpstr>Final Statment of Account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Clarice CHEN (NRF)</dc:creator>
  <cp:lastModifiedBy>Aswathy Raj</cp:lastModifiedBy>
  <cp:lastPrinted>2019-12-31T04:35:26Z</cp:lastPrinted>
  <dcterms:created xsi:type="dcterms:W3CDTF">2014-04-03T01:53:06Z</dcterms:created>
  <dcterms:modified xsi:type="dcterms:W3CDTF">2023-04-19T07:49:53Z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9331f7-95a2-472a-92bc-d73219eb516b_Enabled">
    <vt:lpwstr>True</vt:lpwstr>
  </property>
  <property fmtid="{D5CDD505-2E9C-101B-9397-08002B2CF9AE}" pid="3" name="MSIP_Label_3f9331f7-95a2-472a-92bc-d73219eb516b_SiteId">
    <vt:lpwstr>0b11c524-9a1c-4e1b-84cb-6336aefc2243</vt:lpwstr>
  </property>
  <property fmtid="{D5CDD505-2E9C-101B-9397-08002B2CF9AE}" pid="4" name="MSIP_Label_3f9331f7-95a2-472a-92bc-d73219eb516b_Owner">
    <vt:lpwstr>Jane_NG@nrf.gov.sg</vt:lpwstr>
  </property>
  <property fmtid="{D5CDD505-2E9C-101B-9397-08002B2CF9AE}" pid="5" name="MSIP_Label_3f9331f7-95a2-472a-92bc-d73219eb516b_SetDate">
    <vt:lpwstr>2019-12-10T07:18:41.1025899Z</vt:lpwstr>
  </property>
  <property fmtid="{D5CDD505-2E9C-101B-9397-08002B2CF9AE}" pid="6" name="MSIP_Label_3f9331f7-95a2-472a-92bc-d73219eb516b_Name">
    <vt:lpwstr>CONFIDENTIAL</vt:lpwstr>
  </property>
  <property fmtid="{D5CDD505-2E9C-101B-9397-08002B2CF9AE}" pid="7" name="MSIP_Label_3f9331f7-95a2-472a-92bc-d73219eb516b_Application">
    <vt:lpwstr>Microsoft Azure Information Protection</vt:lpwstr>
  </property>
  <property fmtid="{D5CDD505-2E9C-101B-9397-08002B2CF9AE}" pid="8" name="MSIP_Label_3f9331f7-95a2-472a-92bc-d73219eb516b_ActionId">
    <vt:lpwstr>a5b9d944-1d1d-4a86-8e8b-051aed4fce4c</vt:lpwstr>
  </property>
  <property fmtid="{D5CDD505-2E9C-101B-9397-08002B2CF9AE}" pid="9" name="MSIP_Label_3f9331f7-95a2-472a-92bc-d73219eb516b_Extended_MSFT_Method">
    <vt:lpwstr>Automatic</vt:lpwstr>
  </property>
  <property fmtid="{D5CDD505-2E9C-101B-9397-08002B2CF9AE}" pid="10" name="MSIP_Label_4f288355-fb4c-44cd-b9ca-40cfc2aee5f8_Enabled">
    <vt:lpwstr>True</vt:lpwstr>
  </property>
  <property fmtid="{D5CDD505-2E9C-101B-9397-08002B2CF9AE}" pid="11" name="MSIP_Label_4f288355-fb4c-44cd-b9ca-40cfc2aee5f8_SiteId">
    <vt:lpwstr>0b11c524-9a1c-4e1b-84cb-6336aefc2243</vt:lpwstr>
  </property>
  <property fmtid="{D5CDD505-2E9C-101B-9397-08002B2CF9AE}" pid="12" name="MSIP_Label_4f288355-fb4c-44cd-b9ca-40cfc2aee5f8_Owner">
    <vt:lpwstr>Jane_NG@nrf.gov.sg</vt:lpwstr>
  </property>
  <property fmtid="{D5CDD505-2E9C-101B-9397-08002B2CF9AE}" pid="13" name="MSIP_Label_4f288355-fb4c-44cd-b9ca-40cfc2aee5f8_SetDate">
    <vt:lpwstr>2019-12-10T07:18:41.1025899Z</vt:lpwstr>
  </property>
  <property fmtid="{D5CDD505-2E9C-101B-9397-08002B2CF9AE}" pid="14" name="MSIP_Label_4f288355-fb4c-44cd-b9ca-40cfc2aee5f8_Name">
    <vt:lpwstr>NON-SENSITIVE</vt:lpwstr>
  </property>
  <property fmtid="{D5CDD505-2E9C-101B-9397-08002B2CF9AE}" pid="15" name="MSIP_Label_4f288355-fb4c-44cd-b9ca-40cfc2aee5f8_Application">
    <vt:lpwstr>Microsoft Azure Information Protection</vt:lpwstr>
  </property>
  <property fmtid="{D5CDD505-2E9C-101B-9397-08002B2CF9AE}" pid="16" name="MSIP_Label_4f288355-fb4c-44cd-b9ca-40cfc2aee5f8_ActionId">
    <vt:lpwstr>a5b9d944-1d1d-4a86-8e8b-051aed4fce4c</vt:lpwstr>
  </property>
  <property fmtid="{D5CDD505-2E9C-101B-9397-08002B2CF9AE}" pid="17" name="MSIP_Label_4f288355-fb4c-44cd-b9ca-40cfc2aee5f8_Parent">
    <vt:lpwstr>3f9331f7-95a2-472a-92bc-d73219eb516b</vt:lpwstr>
  </property>
  <property fmtid="{D5CDD505-2E9C-101B-9397-08002B2CF9AE}" pid="18" name="MSIP_Label_4f288355-fb4c-44cd-b9ca-40cfc2aee5f8_Extended_MSFT_Method">
    <vt:lpwstr>Automatic</vt:lpwstr>
  </property>
</Properties>
</file>