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C:\Users\aswathy.raj\Downloads\"/>
    </mc:Choice>
  </mc:AlternateContent>
  <xr:revisionPtr revIDLastSave="0" documentId="13_ncr:1_{02E8C009-9F5C-49F1-A0A9-5F3AEF28A3FD}" xr6:coauthVersionLast="47" xr6:coauthVersionMax="47" xr10:uidLastSave="{00000000-0000-0000-0000-000000000000}"/>
  <bookViews>
    <workbookView xWindow="-120" yWindow="-120" windowWidth="20730" windowHeight="11160" tabRatio="762" activeTab="6" xr2:uid="{00000000-000D-0000-FFFF-FFFF00000000}"/>
  </bookViews>
  <sheets>
    <sheet name="Summ of Fund Requisitions" sheetId="10" r:id="rId1"/>
    <sheet name="EOM" sheetId="3" r:id="rId2"/>
    <sheet name="Equipment" sheetId="4" r:id="rId3"/>
    <sheet name="OOE" sheetId="5" r:id="rId4"/>
    <sheet name="Overseas Travel" sheetId="11" r:id="rId5"/>
    <sheet name="Research Scholarship" sheetId="7" r:id="rId6"/>
    <sheet name="Indirect Costs" sheetId="8" r:id="rId7"/>
    <sheet name="Cumulative Amt Claimed to Date" sheetId="9" r:id="rId8"/>
  </sheets>
  <definedNames>
    <definedName name="_xlnm.Print_Area" localSheetId="1">EOM!$A$1:$M$24</definedName>
    <definedName name="_xlnm.Print_Area" localSheetId="6">'Indirect Costs'!$A$1:$F$19</definedName>
    <definedName name="_xlnm.Print_Area" localSheetId="4">'Overseas Travel'!$A$1:$H$18</definedName>
    <definedName name="_xlnm.Print_Area" localSheetId="5">'Research Scholarship'!$A$1:$M$18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1" i="9" l="1"/>
  <c r="E25" i="9"/>
  <c r="E19" i="9"/>
  <c r="E13" i="9"/>
  <c r="E7" i="9"/>
  <c r="B33" i="10" a="1"/>
  <c r="D33" i="10" a="1"/>
  <c r="D33" i="10" l="1"/>
  <c r="B33" i="10"/>
  <c r="H36" i="5"/>
  <c r="E33" i="10" l="1"/>
  <c r="L36" i="9"/>
  <c r="D16" i="10"/>
  <c r="H37" i="5"/>
  <c r="E50" i="5" s="1"/>
  <c r="F37" i="5"/>
  <c r="C50" i="5"/>
  <c r="F6" i="4"/>
  <c r="F19" i="10" s="1"/>
  <c r="G16" i="10"/>
  <c r="F16" i="10"/>
  <c r="L38" i="9" l="1"/>
  <c r="J8" i="3"/>
  <c r="J11" i="3"/>
  <c r="L11" i="3" l="1"/>
  <c r="J9" i="3"/>
  <c r="C16" i="3" l="1"/>
  <c r="B25" i="10"/>
  <c r="D24" i="10"/>
  <c r="D22" i="10"/>
  <c r="D15" i="10"/>
  <c r="H6" i="9" l="1"/>
  <c r="J6" i="9" s="1"/>
  <c r="F13" i="9"/>
  <c r="J5" i="7"/>
  <c r="G5" i="11"/>
  <c r="H7" i="5"/>
  <c r="H5" i="4"/>
  <c r="L8" i="3" l="1"/>
  <c r="D30" i="10"/>
  <c r="D27" i="10"/>
  <c r="D19" i="10"/>
  <c r="D31" i="10" l="1"/>
  <c r="C31" i="10"/>
  <c r="B31" i="10"/>
  <c r="D28" i="10"/>
  <c r="C28" i="10"/>
  <c r="B28" i="10"/>
  <c r="D20" i="10"/>
  <c r="C20" i="10"/>
  <c r="B20" i="10"/>
  <c r="E15" i="10" l="1"/>
  <c r="B17" i="10" l="1"/>
  <c r="F15" i="10"/>
  <c r="E19" i="10" l="1"/>
  <c r="E5" i="8"/>
  <c r="I31" i="9" l="1"/>
  <c r="G31" i="9"/>
  <c r="F31" i="9"/>
  <c r="H30" i="9"/>
  <c r="G19" i="9"/>
  <c r="F19" i="9"/>
  <c r="I25" i="9"/>
  <c r="G25" i="9"/>
  <c r="F25" i="9"/>
  <c r="H24" i="9"/>
  <c r="J24" i="9" s="1"/>
  <c r="I19" i="9"/>
  <c r="H18" i="9"/>
  <c r="J18" i="9" s="1"/>
  <c r="I13" i="9"/>
  <c r="G13" i="9"/>
  <c r="H12" i="9"/>
  <c r="J12" i="9" s="1"/>
  <c r="I7" i="9"/>
  <c r="G7" i="9"/>
  <c r="F7" i="9"/>
  <c r="E6" i="11"/>
  <c r="H6" i="7"/>
  <c r="C10" i="7" s="1"/>
  <c r="F23" i="5"/>
  <c r="H23" i="5" s="1"/>
  <c r="E30" i="10"/>
  <c r="E27" i="10"/>
  <c r="E24" i="10"/>
  <c r="E23" i="10"/>
  <c r="E22" i="10"/>
  <c r="H19" i="9" l="1"/>
  <c r="J19" i="9" s="1"/>
  <c r="H13" i="9"/>
  <c r="H31" i="9"/>
  <c r="J30" i="9"/>
  <c r="H25" i="9"/>
  <c r="H7" i="9"/>
  <c r="L9" i="3" l="1"/>
  <c r="G15" i="10" l="1"/>
  <c r="D16" i="3"/>
  <c r="J31" i="9" l="1"/>
  <c r="J25" i="9"/>
  <c r="G6" i="11" l="1"/>
  <c r="G27" i="10" s="1"/>
  <c r="G28" i="10" s="1"/>
  <c r="F30" i="10"/>
  <c r="C10" i="11"/>
  <c r="F21" i="5"/>
  <c r="F22" i="5"/>
  <c r="H22" i="5" s="1"/>
  <c r="F20" i="5"/>
  <c r="E7" i="8"/>
  <c r="E31" i="10" l="1"/>
  <c r="E28" i="10"/>
  <c r="D10" i="11"/>
  <c r="F24" i="5"/>
  <c r="E20" i="10"/>
  <c r="H20" i="5"/>
  <c r="F27" i="10"/>
  <c r="F28" i="10" s="1"/>
  <c r="H21" i="5"/>
  <c r="H24" i="5" l="1"/>
  <c r="C25" i="10" l="1"/>
  <c r="D17" i="10"/>
  <c r="C17" i="10"/>
  <c r="F24" i="10"/>
  <c r="G23" i="10"/>
  <c r="F23" i="10"/>
  <c r="F31" i="10"/>
  <c r="J7" i="9" l="1"/>
  <c r="B34" i="10"/>
  <c r="F36" i="9" s="1"/>
  <c r="C35" i="10"/>
  <c r="G24" i="10"/>
  <c r="F8" i="5"/>
  <c r="J6" i="7"/>
  <c r="E17" i="10"/>
  <c r="G34" i="9"/>
  <c r="J13" i="9"/>
  <c r="D25" i="10"/>
  <c r="H6" i="4"/>
  <c r="H8" i="5"/>
  <c r="F34" i="9" l="1"/>
  <c r="B35" i="10"/>
  <c r="G30" i="10"/>
  <c r="G31" i="10" s="1"/>
  <c r="E10" i="7"/>
  <c r="E25" i="10"/>
  <c r="E8" i="8"/>
  <c r="F22" i="10"/>
  <c r="F25" i="10" s="1"/>
  <c r="F17" i="10"/>
  <c r="F38" i="9" l="1"/>
  <c r="D34" i="10"/>
  <c r="F40" i="9"/>
  <c r="G17" i="10"/>
  <c r="H34" i="9"/>
  <c r="C10" i="4"/>
  <c r="F42" i="9" l="1"/>
  <c r="G36" i="9"/>
  <c r="G38" i="9" s="1"/>
  <c r="D35" i="10"/>
  <c r="E34" i="10"/>
  <c r="E35" i="10" s="1"/>
  <c r="G19" i="10"/>
  <c r="G20" i="10" s="1"/>
  <c r="E10" i="4"/>
  <c r="E6" i="8"/>
  <c r="E9" i="8" s="1"/>
  <c r="C19" i="8" s="1"/>
  <c r="F20" i="10"/>
  <c r="F35" i="10" s="1"/>
  <c r="G33" i="10" l="1"/>
  <c r="G34" i="10" s="1"/>
  <c r="G40" i="9"/>
  <c r="G42" i="9" s="1"/>
  <c r="H36" i="9" l="1"/>
  <c r="H38" i="9" s="1"/>
  <c r="G22" i="10"/>
  <c r="G25" i="10" s="1"/>
  <c r="G35" i="10" s="1"/>
  <c r="L35" i="10" l="1"/>
  <c r="H40" i="9" l="1"/>
  <c r="H4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Ajin VS</author>
  </authors>
  <commentList>
    <comment ref="A2" authorId="0" shapeId="0" xr:uid="{437CB558-45B9-4C10-81ED-E15B8CB6B0BD}">
      <text>
        <r>
          <rPr>
            <b/>
            <sz val="9"/>
            <color indexed="81"/>
            <rFont val="Tahoma"/>
            <family val="2"/>
          </rPr>
          <t>jx:area(lastCell="M10")</t>
        </r>
        <r>
          <rPr>
            <sz val="9"/>
            <color indexed="81"/>
            <rFont val="Tahoma"/>
            <family val="2"/>
          </rPr>
          <t xml:space="preserve">
</t>
        </r>
      </text>
    </comment>
    <comment ref="B15" authorId="0" shapeId="0" xr:uid="{6ADD4E9F-BD32-4C4E-B8F0-7DA3F8923551}">
      <text>
        <r>
          <rPr>
            <b/>
            <sz val="9"/>
            <color indexed="81"/>
            <rFont val="Tahoma"/>
            <family val="2"/>
          </rPr>
          <t>jx:area(lastCell="M16")
jx:each(items="claimVO.claimSummary" var="summary" lastCell="I15" select="summary.budgetCategoryCode == 'EOM'")</t>
        </r>
      </text>
    </comment>
    <comment ref="A17" authorId="0" shapeId="0" xr:uid="{5DAD4C1E-BBFE-4DBC-9AC0-D3E3D52FA56D}">
      <text>
        <r>
          <rPr>
            <b/>
            <sz val="9"/>
            <color indexed="81"/>
            <rFont val="Tahoma"/>
            <family val="2"/>
          </rPr>
          <t>jx:area(lastCell="G17")</t>
        </r>
      </text>
    </comment>
    <comment ref="B19" authorId="0" shapeId="0" xr:uid="{8119E06C-FA34-4BDD-826B-3ABC9466A233}">
      <text>
        <r>
          <rPr>
            <b/>
            <sz val="9"/>
            <color indexed="81"/>
            <rFont val="Tahoma"/>
            <family val="2"/>
          </rPr>
          <t xml:space="preserve">jx:area(lastCell="M20")
jx:each (items="claimVO.claimSummary" var="summary" lastCell="I19" select="summary.budgetCategoryCode == 'EQT'")
</t>
        </r>
        <r>
          <rPr>
            <sz val="9"/>
            <color indexed="81"/>
            <rFont val="Tahoma"/>
            <family val="2"/>
          </rPr>
          <t xml:space="preserve">
</t>
        </r>
      </text>
    </comment>
    <comment ref="B22" authorId="0" shapeId="0" xr:uid="{35123D37-B2C8-4F6F-ADC2-28FACBD0E2B4}">
      <text>
        <r>
          <rPr>
            <b/>
            <sz val="9"/>
            <color indexed="81"/>
            <rFont val="Tahoma"/>
            <family val="2"/>
          </rPr>
          <t xml:space="preserve">jx:area(lastCell="M22")
jx:each (items="claimVO.claimSummary" var="summary" lastCell="I22" select="summary.budgetCategoryCode == 'MAC'")
</t>
        </r>
        <r>
          <rPr>
            <sz val="9"/>
            <color indexed="81"/>
            <rFont val="Tahoma"/>
            <family val="2"/>
          </rPr>
          <t xml:space="preserve">
</t>
        </r>
      </text>
    </comment>
    <comment ref="B24" authorId="0" shapeId="0" xr:uid="{E5457B86-47B3-44A1-8FF7-06A9FFD2B3C7}">
      <text>
        <r>
          <rPr>
            <b/>
            <sz val="9"/>
            <color indexed="81"/>
            <rFont val="Tahoma"/>
            <charset val="1"/>
          </rPr>
          <t xml:space="preserve">jx:area(lastCell="M24")
jx:each (items="claimVO.claimSummary" var="summary" lastCell="I24" select="summary.budgetCategoryCode == 'OOE'")
</t>
        </r>
      </text>
    </comment>
    <comment ref="A25" authorId="0" shapeId="0" xr:uid="{7319E30E-42B9-4D04-8FD2-8B2562DF8CC3}">
      <text>
        <r>
          <rPr>
            <b/>
            <sz val="9"/>
            <color indexed="81"/>
            <rFont val="Tahoma"/>
            <family val="2"/>
          </rPr>
          <t>jx:area(lastCell="M25")</t>
        </r>
        <r>
          <rPr>
            <sz val="9"/>
            <color indexed="81"/>
            <rFont val="Tahoma"/>
            <family val="2"/>
          </rPr>
          <t xml:space="preserve">
</t>
        </r>
      </text>
    </comment>
    <comment ref="B27" authorId="0" shapeId="0" xr:uid="{0B2499D4-1F44-4384-89F8-20E317E0E809}">
      <text>
        <r>
          <rPr>
            <b/>
            <sz val="9"/>
            <color indexed="81"/>
            <rFont val="Tahoma"/>
            <family val="2"/>
          </rPr>
          <t xml:space="preserve">jx:area(lastCell="M28")
jx:each (items="claimVO.claimSummary" var="summary" lastCell="I27" select="summary.budgetCategoryCode == 'OST'")
</t>
        </r>
      </text>
    </comment>
    <comment ref="B30" authorId="0" shapeId="0" xr:uid="{507EC915-A725-4F68-80C2-D01D581D2149}">
      <text>
        <r>
          <rPr>
            <b/>
            <sz val="9"/>
            <color indexed="81"/>
            <rFont val="Tahoma"/>
            <family val="2"/>
          </rPr>
          <t xml:space="preserve">jx:area(lastCell="M30")
jx:each (items="claimVO.claimSummary" var="summary" lastCell="I30" select="summary.budgetCategoryCode == 'RSS'")
</t>
        </r>
        <r>
          <rPr>
            <sz val="9"/>
            <color indexed="81"/>
            <rFont val="Tahoma"/>
            <family val="2"/>
          </rPr>
          <t xml:space="preserve">
</t>
        </r>
      </text>
    </comment>
    <comment ref="A31" authorId="0" shapeId="0" xr:uid="{B5774F10-72E6-4A70-AFBB-BDC47EDEF0DB}">
      <text>
        <r>
          <rPr>
            <b/>
            <sz val="9"/>
            <color indexed="81"/>
            <rFont val="Tahoma"/>
            <family val="2"/>
          </rPr>
          <t>jx:area(lastCell="M31")</t>
        </r>
      </text>
    </comment>
    <comment ref="A33" authorId="0" shapeId="0" xr:uid="{B5FAF503-0D5F-446D-B4E9-45EA0F52B007}">
      <text>
        <r>
          <rPr>
            <b/>
            <sz val="9"/>
            <color indexed="81"/>
            <rFont val="Tahoma"/>
            <family val="2"/>
          </rPr>
          <t>jx:area(lastCell="M55")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Ajin VS</author>
  </authors>
  <commentList>
    <comment ref="A1" authorId="0" shapeId="0" xr:uid="{047A40B4-BD15-41E3-8B91-028B1D3E181D}">
      <text>
        <r>
          <rPr>
            <b/>
            <sz val="9"/>
            <color indexed="81"/>
            <rFont val="Tahoma"/>
            <family val="2"/>
          </rPr>
          <t>jx:area(lastCell="M25")</t>
        </r>
        <r>
          <rPr>
            <sz val="9"/>
            <color indexed="81"/>
            <rFont val="Tahoma"/>
            <family val="2"/>
          </rPr>
          <t xml:space="preserve">
</t>
        </r>
      </text>
    </comment>
    <comment ref="A8" authorId="0" shapeId="0" xr:uid="{466B1089-DEA4-406A-93BA-0ECF7DC15E5B}">
      <text>
        <r>
          <rPr>
            <b/>
            <sz val="9"/>
            <color indexed="81"/>
            <rFont val="Tahoma"/>
            <family val="2"/>
          </rPr>
          <t xml:space="preserve">jx:each (items="claimFilter.getGroupTransactions(claimVO.claimSummaryDetails,'EOM')" var="gTransactions" varIndex="ind" lastCell="M8" groupBy="manpowerFullName" select="gTransactions.items[0].manpower.decryptedCitizenShip != 'Foreigner'")
jx:if(condition="gTransactions.items[0].manpower.decryptedCitizenShip != 'Foreigner'", lastCell="M8")
</t>
        </r>
        <r>
          <rPr>
            <sz val="9"/>
            <color indexed="81"/>
            <rFont val="Tahoma"/>
            <family val="2"/>
          </rPr>
          <t xml:space="preserve">
</t>
        </r>
      </text>
    </comment>
    <comment ref="C8" authorId="0" shapeId="0" xr:uid="{7AF5C67B-84F4-4037-8BCF-BAFE4532DCD8}">
      <text>
        <r>
          <rPr>
            <b/>
            <sz val="9"/>
            <color indexed="81"/>
            <rFont val="Tahoma"/>
            <family val="2"/>
          </rPr>
          <t>jx:if(condition="gTransactions.items[0].manpower.manpowerPersonId!=null", lastCell="C8", areas=["C8:C8","C1000:C1000"] )
jx:each(items="claimVO.allAwardManpowerResource"  var="manpwr" select="manpwr.manpower.manpowerPersonId == gTransactions.items[0].manpower.manpowerPersonId"  varIndex="index"  lastCell="C8" )</t>
        </r>
        <r>
          <rPr>
            <sz val="9"/>
            <color indexed="81"/>
            <rFont val="Tahoma"/>
            <family val="2"/>
          </rPr>
          <t xml:space="preserve">
</t>
        </r>
        <r>
          <rPr>
            <b/>
            <sz val="9"/>
            <color indexed="81"/>
            <rFont val="Tahoma"/>
            <family val="2"/>
          </rPr>
          <t>jx:if(condition="index==0", lastCell="C8" )</t>
        </r>
      </text>
    </comment>
    <comment ref="E8" authorId="0" shapeId="0" xr:uid="{7614AFF2-D4E8-496C-8B91-C30C07A6748C}">
      <text>
        <r>
          <rPr>
            <b/>
            <sz val="9"/>
            <color indexed="81"/>
            <rFont val="Tahoma"/>
            <family val="2"/>
          </rPr>
          <t>jx:if(condition="gTransactions.items[0].manpower.manpowerPersonId!=null", lastCell="E8", areas=["E8:E8","E1000:E1000"] )
jx:each(items="claimVO.allAwardManpowerResource"  var="manpwr" groupBy="manpower.manpowerPersonId" varIndex="index"  lastCell="E8" )
jx:if(condition="manpwr.item.manpower.manpowerPersonId == gTransactions.items[0].manpower.manpowerPersonId" , lastCell="E8" )</t>
        </r>
      </text>
    </comment>
    <comment ref="F8" authorId="0" shapeId="0" xr:uid="{79ACD734-DA24-4EAD-A264-D6E86DD03178}">
      <text>
        <r>
          <rPr>
            <b/>
            <sz val="9"/>
            <color indexed="81"/>
            <rFont val="Tahoma"/>
            <family val="2"/>
          </rPr>
          <t xml:space="preserve">jx:each(items="gTransactions.items" var="transaction" lastCell="M8"  varIndex="index")
jx:each(items="transaction.transactions" var="transactions" lastCell="M8" varIndex="i")
</t>
        </r>
      </text>
    </comment>
    <comment ref="A11" authorId="0" shapeId="0" xr:uid="{734EDCC7-4E6C-4501-AF99-4623EA6AB853}">
      <text>
        <r>
          <rPr>
            <b/>
            <sz val="9"/>
            <color indexed="81"/>
            <rFont val="Tahoma"/>
            <family val="2"/>
          </rPr>
          <t xml:space="preserve">jx:each (items="claimFilter.getGroupTransactions(claimVO.claimSummaryDetails,'EOM')" select="gTransactions.items[0].manpower.decryptedCitizenShip == 'Foreigner'" var="gTransactions" varIndex="ind" lastCell="M11" groupBy="manpowerFullName")
jx:if(condition="gTransactions.items[0].manpower.decryptedCitizenShip == 'Foreigner'", lastCell="M11")
</t>
        </r>
      </text>
    </comment>
    <comment ref="C11" authorId="0" shapeId="0" xr:uid="{D0629A7F-2B84-4DC7-88E4-429329333739}">
      <text>
        <r>
          <rPr>
            <b/>
            <sz val="9"/>
            <color indexed="81"/>
            <rFont val="Tahoma"/>
            <family val="2"/>
          </rPr>
          <t>jx:if(condition="gTransactions.items[0].manpower!=null", lastCell="C11", areas=["C11:C11","C2000:C2000"] )
jx:each(items="claimVO.allAwardManpowerResource"  var="manpwr" select="manpwr.manpower.manpowerPersonId == gTransactions.items[0].manpower.manpowerPersonId"  varIndex="index"  lastCell="C11" )
jx:if(condition="index==0",lastCell="C11" )</t>
        </r>
      </text>
    </comment>
    <comment ref="E11" authorId="0" shapeId="0" xr:uid="{E16923AB-AA17-4DA0-A277-1C15506A63FE}">
      <text>
        <r>
          <rPr>
            <b/>
            <sz val="9"/>
            <color indexed="81"/>
            <rFont val="Tahoma"/>
            <family val="2"/>
          </rPr>
          <t>jx:if(condition="gTransactions.items[0].manpower!=null", lastCell="E11", areas=["E11:E11","E2000:E2000"] )
jx:each(items="claimVO.allAwardManpowerResource"  var="manpwr" groupBy="manpower.manpowerPersonId" varIndex="index"  lastCell="E11" )
jx:if(condition="manpwr.item.manpower.manpowerPersonId == gTransactions.items[0].manpower.manpowerPersonId" , lastCell="E11" )</t>
        </r>
      </text>
    </comment>
    <comment ref="F11" authorId="0" shapeId="0" xr:uid="{308F6C4C-CA48-4A22-95D7-A2C0B11DEE38}">
      <text>
        <r>
          <rPr>
            <b/>
            <sz val="9"/>
            <color indexed="81"/>
            <rFont val="Tahoma"/>
            <family val="2"/>
          </rPr>
          <t>jx:each(items="gTransactions.items" var="transaction" lastCell="M11"  varIndex="index")
jx:each(items="transaction.transactions" var="transactions" lastCell="M11" varIndex="i")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Ajin VS</author>
  </authors>
  <commentList>
    <comment ref="A1" authorId="0" shapeId="0" xr:uid="{DFC49DB1-AFA9-4B53-AFF1-3C4C3ED543D3}">
      <text>
        <r>
          <rPr>
            <b/>
            <sz val="9"/>
            <color indexed="81"/>
            <rFont val="Tahoma"/>
            <family val="2"/>
          </rPr>
          <t>jx:area(lastCell="J16")</t>
        </r>
      </text>
    </comment>
    <comment ref="A5" authorId="0" shapeId="0" xr:uid="{44537F92-9590-4355-B1ED-DB9F906B5A3F}">
      <text>
        <r>
          <rPr>
            <b/>
            <sz val="11"/>
            <color indexed="81"/>
            <rFont val="Tahoma"/>
            <family val="2"/>
          </rPr>
          <t>jx:each (items="claimVO.claimSummaryDetails" var="summary" lastCell="J5" select="summary.budgetCategory.code == 'EQT'")
jx:each(items="summary.groupedTransactions" var="transaction" lastCell="J5")
jx:each(items="transaction.transactions" var="transactions" lastCell="J5" varIndex="index")</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Ajin VS</author>
  </authors>
  <commentList>
    <comment ref="A1" authorId="0" shapeId="0" xr:uid="{8B01A988-3A7C-4A3D-B660-BC7E5F1B9A9A}">
      <text>
        <r>
          <rPr>
            <b/>
            <sz val="9"/>
            <color indexed="81"/>
            <rFont val="Tahoma"/>
            <family val="2"/>
          </rPr>
          <t>jx:area(lastCell="J55")</t>
        </r>
        <r>
          <rPr>
            <sz val="9"/>
            <color indexed="81"/>
            <rFont val="Tahoma"/>
            <family val="2"/>
          </rPr>
          <t xml:space="preserve">
</t>
        </r>
      </text>
    </comment>
    <comment ref="A7" authorId="0" shapeId="0" xr:uid="{92527AC0-5AFE-4C04-B0A3-FCFD8022B20D}">
      <text>
        <r>
          <rPr>
            <b/>
            <sz val="9"/>
            <color indexed="81"/>
            <rFont val="Tahoma"/>
            <family val="2"/>
          </rPr>
          <t xml:space="preserve">jx:each (items="claimVO.claimSummaryDetails" var="summary" lastCell="J7" select="summary.budgetCategory.code == 'MAC'")
jx:each(items="summary.groupedTransactions" var="transaction" lastCell="J7")
jx:each(items="transaction.transactions" var="transactions" lastCell="J7" varIndex="index")
</t>
        </r>
        <r>
          <rPr>
            <sz val="9"/>
            <color indexed="81"/>
            <rFont val="Tahoma"/>
            <family val="2"/>
          </rPr>
          <t xml:space="preserve">
</t>
        </r>
      </text>
    </comment>
    <comment ref="A36" authorId="0" shapeId="0" xr:uid="{9F7DEAF8-E25F-462E-ADE4-16B07582164C}">
      <text>
        <r>
          <rPr>
            <b/>
            <sz val="9"/>
            <color indexed="81"/>
            <rFont val="Tahoma"/>
            <charset val="1"/>
          </rPr>
          <t>jx:each (items="claimVO.claimSummaryDetails" var="summary" lastCell="J36" select="summary.budgetCategory.code == 'OOE'")
jx:each(items="summary.groupedTransactions" var="transaction" lastCell="J36")
jx:each(items="transaction.transactions" var="transactions" lastCell="J36" varIndex="index")</t>
        </r>
        <r>
          <rPr>
            <sz val="9"/>
            <color indexed="81"/>
            <rFont val="Tahoma"/>
            <charset val="1"/>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Ajin VS</author>
  </authors>
  <commentList>
    <comment ref="A1" authorId="0" shapeId="0" xr:uid="{8EB8214B-8C05-4C12-A418-E1B3645D3EEE}">
      <text>
        <r>
          <rPr>
            <b/>
            <sz val="9"/>
            <color indexed="81"/>
            <rFont val="Tahoma"/>
            <family val="2"/>
          </rPr>
          <t>jx:area(lastCell="J20")</t>
        </r>
        <r>
          <rPr>
            <sz val="9"/>
            <color indexed="81"/>
            <rFont val="Tahoma"/>
            <family val="2"/>
          </rPr>
          <t xml:space="preserve">
</t>
        </r>
      </text>
    </comment>
    <comment ref="A5" authorId="0" shapeId="0" xr:uid="{86701FC5-C9F3-4E07-9AB7-1BDE58B3B818}">
      <text>
        <r>
          <rPr>
            <b/>
            <sz val="9"/>
            <color indexed="81"/>
            <rFont val="Tahoma"/>
            <family val="2"/>
          </rPr>
          <t>jx:each (items="claimVO.claimSummaryDetails" var="summary" lastCell="J5" select="summary.budgetCategory.code == 'OST'")
jx:each(items="summary.groupedTransactions" var="transaction" lastCell="J5")
jx:each(items="transaction.transactions" var="transactions" lastCell="J5" varIndex="index")</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Ajin VS</author>
  </authors>
  <commentList>
    <comment ref="A1" authorId="0" shapeId="0" xr:uid="{C4115472-0763-43F0-8DF1-1B47B6833EDE}">
      <text>
        <r>
          <rPr>
            <b/>
            <sz val="9"/>
            <color indexed="81"/>
            <rFont val="Tahoma"/>
            <family val="2"/>
          </rPr>
          <t>jx:area(lastCell="K20")</t>
        </r>
      </text>
    </comment>
    <comment ref="A5" authorId="0" shapeId="0" xr:uid="{3169419D-0060-4FD6-A13C-4E5E13364015}">
      <text>
        <r>
          <rPr>
            <b/>
            <sz val="9"/>
            <color indexed="81"/>
            <rFont val="Tahoma"/>
            <family val="2"/>
          </rPr>
          <t xml:space="preserve">jx:each (items="claimVO.claimSummaryDetails" var="summary" lastCell="K5" select="summary.budgetCategory.code == 'RSS'")
jx:each(items="summary.groupedTransactions" var="transaction" lastCell="K5")
jx:each(items="transaction.transactions" var="transactions" lastCell="K5" varIndex="index")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Ajin VS</author>
  </authors>
  <commentList>
    <comment ref="B5" authorId="0" shapeId="0" xr:uid="{6701FF93-1500-4E73-BB62-BE3EADC8215A}">
      <text>
        <r>
          <rPr>
            <b/>
            <sz val="9"/>
            <color indexed="81"/>
            <rFont val="Tahoma"/>
            <family val="2"/>
          </rPr>
          <t>jx:area(lastCell="F5")</t>
        </r>
      </text>
    </comment>
    <comment ref="C5" authorId="0" shapeId="0" xr:uid="{BDEE1613-458D-49CB-A27F-A150C1F16964}">
      <text>
        <r>
          <rPr>
            <b/>
            <sz val="9"/>
            <color indexed="81"/>
            <rFont val="Tahoma"/>
            <family val="2"/>
          </rPr>
          <t xml:space="preserve">
jx:each (items="claimVO.claimSummary" var="summary" lastCell="F5" select="summary.budgetCategoryCode == 'EOM'")</t>
        </r>
      </text>
    </comment>
    <comment ref="B6" authorId="0" shapeId="0" xr:uid="{647639F3-677F-459A-B9FB-2F3E4AA5E6BB}">
      <text>
        <r>
          <rPr>
            <b/>
            <sz val="9"/>
            <color indexed="81"/>
            <rFont val="Tahoma"/>
            <family val="2"/>
          </rPr>
          <t>jx:area(lastCell="F6")</t>
        </r>
        <r>
          <rPr>
            <sz val="9"/>
            <color indexed="81"/>
            <rFont val="Tahoma"/>
            <family val="2"/>
          </rPr>
          <t xml:space="preserve">
</t>
        </r>
      </text>
    </comment>
    <comment ref="C6" authorId="0" shapeId="0" xr:uid="{9655133E-2215-4EC2-BC8A-E623036A36FC}">
      <text>
        <r>
          <rPr>
            <b/>
            <sz val="9"/>
            <color indexed="81"/>
            <rFont val="Tahoma"/>
            <family val="2"/>
          </rPr>
          <t xml:space="preserve">
jx:each (items="claimVO.claimSummary" var="summary" lastCell="F6" select="summary.budgetCategoryCode == 'EQT'")</t>
        </r>
      </text>
    </comment>
    <comment ref="C7" authorId="0" shapeId="0" xr:uid="{57A8D6EE-C32C-4E59-9C7E-6ED20B00CFA3}">
      <text>
        <r>
          <rPr>
            <b/>
            <sz val="9"/>
            <color indexed="81"/>
            <rFont val="Tahoma"/>
            <family val="2"/>
          </rPr>
          <t>jx:area(lastCell="F7")</t>
        </r>
        <r>
          <rPr>
            <sz val="9"/>
            <color indexed="81"/>
            <rFont val="Tahoma"/>
            <family val="2"/>
          </rPr>
          <t xml:space="preserve">
</t>
        </r>
      </text>
    </comment>
    <comment ref="B8" authorId="0" shapeId="0" xr:uid="{F004E35A-1567-415C-B1A7-8091ACBB1505}">
      <text>
        <r>
          <rPr>
            <b/>
            <sz val="9"/>
            <color indexed="81"/>
            <rFont val="Tahoma"/>
            <family val="2"/>
          </rPr>
          <t>jx:area(lastCell="F8")</t>
        </r>
      </text>
    </comment>
    <comment ref="C8" authorId="0" shapeId="0" xr:uid="{B5337523-03C8-439A-BEF4-E3E2A1FD2568}">
      <text>
        <r>
          <rPr>
            <b/>
            <sz val="9"/>
            <color indexed="81"/>
            <rFont val="Tahoma"/>
            <family val="2"/>
          </rPr>
          <t xml:space="preserve">
jx:each (items="claimVO.claimSummary" var="summary" lastCell="F8" select="summary.budgetCategoryCode == 'OST'")</t>
        </r>
      </text>
    </comment>
    <comment ref="A9" authorId="0" shapeId="0" xr:uid="{6618913E-8D07-47F9-A952-3822D6C342A6}">
      <text>
        <r>
          <rPr>
            <b/>
            <sz val="9"/>
            <color indexed="81"/>
            <rFont val="Tahoma"/>
            <family val="2"/>
          </rPr>
          <t>jx:area(lastCell="F21")</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Ajin VS</author>
  </authors>
  <commentList>
    <comment ref="A1" authorId="0" shapeId="0" xr:uid="{0F3C7B28-C990-4225-92DE-FB3273209043}">
      <text>
        <r>
          <rPr>
            <b/>
            <sz val="9"/>
            <color indexed="81"/>
            <rFont val="Tahoma"/>
            <family val="2"/>
          </rPr>
          <t>jx:area(lastCell="L60")</t>
        </r>
        <r>
          <rPr>
            <sz val="9"/>
            <color indexed="81"/>
            <rFont val="Tahoma"/>
            <family val="2"/>
          </rPr>
          <t xml:space="preserve">
</t>
        </r>
      </text>
    </comment>
    <comment ref="L3" authorId="0" shapeId="0" xr:uid="{0CE4C976-ABC9-4665-9392-762915A4982E}">
      <text>
        <r>
          <rPr>
            <b/>
            <sz val="9"/>
            <color indexed="81"/>
            <rFont val="Tahoma"/>
            <family val="2"/>
          </rPr>
          <t>jx:each (items="claimVO.claims" var="claim" lastCell="L7" direction="RIGHT" varIndex="index" groupBy="claimId" groupOrder="desc" )</t>
        </r>
        <r>
          <rPr>
            <sz val="9"/>
            <color indexed="81"/>
            <rFont val="Tahoma"/>
            <family val="2"/>
          </rPr>
          <t xml:space="preserve">
</t>
        </r>
      </text>
    </comment>
    <comment ref="A6" authorId="0" shapeId="0" xr:uid="{9990C333-BFDD-46E8-AFB4-EEA72AF55D5A}">
      <text>
        <r>
          <rPr>
            <b/>
            <sz val="10"/>
            <color indexed="81"/>
            <rFont val="Tahoma"/>
            <family val="2"/>
          </rPr>
          <t>jx:each (items="claimVO.claimSummaryDetails" var="summary" lastCell="J6" select="summary.budgetCategory.code == 'EOM'" varIndex="index")</t>
        </r>
        <r>
          <rPr>
            <sz val="9"/>
            <color indexed="81"/>
            <rFont val="Tahoma"/>
            <family val="2"/>
          </rPr>
          <t xml:space="preserve">
</t>
        </r>
      </text>
    </comment>
    <comment ref="L6" authorId="0" shapeId="0" xr:uid="{24D67328-6125-4B48-82C4-D57A90B7EC8F}">
      <text>
        <r>
          <rPr>
            <b/>
            <sz val="9"/>
            <color indexed="81"/>
            <rFont val="Tahoma"/>
            <family val="2"/>
          </rPr>
          <t xml:space="preserve">jx:each (items="claimVO.claimSummaryDetails" var="summary" lastCell="L6" select="summary.budgetCategory.code == 'EOM'")
</t>
        </r>
        <r>
          <rPr>
            <sz val="9"/>
            <color indexed="81"/>
            <rFont val="Tahoma"/>
            <family val="2"/>
          </rPr>
          <t xml:space="preserve">
</t>
        </r>
      </text>
    </comment>
    <comment ref="L7" authorId="0" shapeId="0" xr:uid="{8968461E-D583-4549-BDBB-18F1903AE116}">
      <text>
        <r>
          <rPr>
            <b/>
            <sz val="9"/>
            <color indexed="81"/>
            <rFont val="Tahoma"/>
            <charset val="1"/>
          </rPr>
          <t>jx:each (items="claimFilter.filterClaimSummDetailsByCatCode(claim.items[0].claimSummaryDetails,'EOM')" var="summary" lastCell="L7" varIndex="index")</t>
        </r>
      </text>
    </comment>
    <comment ref="L9" authorId="0" shapeId="0" xr:uid="{13C281E6-7AF4-479E-8D5A-0402615FBBCE}">
      <text>
        <r>
          <rPr>
            <b/>
            <sz val="9"/>
            <color indexed="81"/>
            <rFont val="Tahoma"/>
            <family val="2"/>
          </rPr>
          <t>jx:each (items="claimVO.claims" var="claim" lastCell="L13" direction="RIGHT" varIndex="index" groupBy="claimId" groupOrder="desc" )</t>
        </r>
      </text>
    </comment>
    <comment ref="A12" authorId="0" shapeId="0" xr:uid="{8CA1FC87-81AF-49E5-9006-0AE70B32E02D}">
      <text>
        <r>
          <rPr>
            <b/>
            <sz val="9"/>
            <color indexed="81"/>
            <rFont val="Tahoma"/>
            <family val="2"/>
          </rPr>
          <t>jx:each (items="claimVO.claimSummaryDetails" var="summary" lastCell="J12" select="summary.budgetCategory.code == 'EQT'" varIndex="index")</t>
        </r>
      </text>
    </comment>
    <comment ref="L12" authorId="0" shapeId="0" xr:uid="{6D2EE633-A801-4315-9595-F7F622E3D6B2}">
      <text>
        <r>
          <rPr>
            <b/>
            <sz val="9"/>
            <color indexed="81"/>
            <rFont val="Tahoma"/>
            <family val="2"/>
          </rPr>
          <t xml:space="preserve">jx:each (items="claimVO.claimSummaryDetails" var="summary" lastCell="L12" select="summary.budgetCategory.code == 'EQT'")
</t>
        </r>
        <r>
          <rPr>
            <sz val="9"/>
            <color indexed="81"/>
            <rFont val="Tahoma"/>
            <family val="2"/>
          </rPr>
          <t xml:space="preserve">
</t>
        </r>
      </text>
    </comment>
    <comment ref="L13" authorId="0" shapeId="0" xr:uid="{AA2F2EEC-0260-41AC-9E96-5AED4B0C81BB}">
      <text>
        <r>
          <rPr>
            <b/>
            <sz val="9"/>
            <color indexed="81"/>
            <rFont val="Tahoma"/>
            <charset val="1"/>
          </rPr>
          <t xml:space="preserve">jx:each (items="claimFilter.filterClaimSummDetailsByCatCode(claim.items[0].claimSummaryDetails,'EQT')" var="summary" lastCell="L13"  varIndex="index")
</t>
        </r>
        <r>
          <rPr>
            <sz val="9"/>
            <color indexed="81"/>
            <rFont val="Tahoma"/>
            <charset val="1"/>
          </rPr>
          <t xml:space="preserve">
</t>
        </r>
      </text>
    </comment>
    <comment ref="L15" authorId="0" shapeId="0" xr:uid="{9DDF6A4D-ACF1-47E9-AF23-E32E26C2B6B5}">
      <text>
        <r>
          <rPr>
            <b/>
            <sz val="9"/>
            <color indexed="81"/>
            <rFont val="Tahoma"/>
            <family val="2"/>
          </rPr>
          <t>jx:each (items="claimVO.claims" var="claim" lastCell="L19" direction="RIGHT" varIndex="index" groupBy="claimId" groupOrder="desc" )</t>
        </r>
      </text>
    </comment>
    <comment ref="A18" authorId="0" shapeId="0" xr:uid="{5BF07B3B-7C5A-4442-A219-F6EB172A0664}">
      <text>
        <r>
          <rPr>
            <b/>
            <sz val="9"/>
            <color indexed="81"/>
            <rFont val="Tahoma"/>
            <family val="2"/>
          </rPr>
          <t xml:space="preserve">jx:each (items="claimVO.claimSummaryDetails" var="summary" lastCell="J18" select="summary.budgetCategory.code == 'OOE'" varIndex="index")
</t>
        </r>
        <r>
          <rPr>
            <sz val="9"/>
            <color indexed="81"/>
            <rFont val="Tahoma"/>
            <family val="2"/>
          </rPr>
          <t xml:space="preserve">
</t>
        </r>
      </text>
    </comment>
    <comment ref="L18" authorId="0" shapeId="0" xr:uid="{977EB22D-1AD2-4D26-ABCA-371ECC214965}">
      <text>
        <r>
          <rPr>
            <b/>
            <sz val="9"/>
            <color indexed="81"/>
            <rFont val="Tahoma"/>
            <family val="2"/>
          </rPr>
          <t xml:space="preserve">jx:each (items="claimVO.claimSummaryDetails" var="summary" lastCell="L18" select="summary.budgetCategory.code == 'OOE'")
</t>
        </r>
        <r>
          <rPr>
            <sz val="9"/>
            <color indexed="81"/>
            <rFont val="Tahoma"/>
            <family val="2"/>
          </rPr>
          <t xml:space="preserve">
</t>
        </r>
      </text>
    </comment>
    <comment ref="L19" authorId="0" shapeId="0" xr:uid="{C9E0EBBC-252F-401D-8603-F460DFA64D64}">
      <text>
        <r>
          <rPr>
            <b/>
            <sz val="9"/>
            <color indexed="81"/>
            <rFont val="Tahoma"/>
            <charset val="1"/>
          </rPr>
          <t>jx:each (items="claimFilter.filterClaimSummDetailsByCatCode(claim.items[0].claimSummaryDetails,'OOE')" var="summary" lastCell="L19"  varIndex="index")</t>
        </r>
        <r>
          <rPr>
            <sz val="9"/>
            <color indexed="81"/>
            <rFont val="Tahoma"/>
            <charset val="1"/>
          </rPr>
          <t xml:space="preserve">
</t>
        </r>
      </text>
    </comment>
    <comment ref="L21" authorId="0" shapeId="0" xr:uid="{3E58A2EF-641A-43DA-8AEC-7DB6137C3F05}">
      <text>
        <r>
          <rPr>
            <b/>
            <sz val="9"/>
            <color indexed="81"/>
            <rFont val="Tahoma"/>
            <family val="2"/>
          </rPr>
          <t>jx:each (items="claimVO.claims" var="claim" lastCell="L25" direction="RIGHT" varIndex="index" groupBy="claimId" groupOrder="desc" )</t>
        </r>
      </text>
    </comment>
    <comment ref="A24" authorId="0" shapeId="0" xr:uid="{5720D2AA-7FCE-45B8-9905-8715FA3833FC}">
      <text>
        <r>
          <rPr>
            <b/>
            <sz val="9"/>
            <color indexed="81"/>
            <rFont val="Tahoma"/>
            <family val="2"/>
          </rPr>
          <t>jx:each (items="claimVO.claimSummaryDetails" var="summary" lastCell="J24" select="summary.budgetCategory.code == 'OST'" varIndex="index")</t>
        </r>
        <r>
          <rPr>
            <sz val="9"/>
            <color indexed="81"/>
            <rFont val="Tahoma"/>
            <family val="2"/>
          </rPr>
          <t xml:space="preserve">
</t>
        </r>
      </text>
    </comment>
    <comment ref="L24" authorId="0" shapeId="0" xr:uid="{232924F1-55B6-4247-99A4-CCA4C040D1FE}">
      <text>
        <r>
          <rPr>
            <b/>
            <sz val="9"/>
            <color indexed="81"/>
            <rFont val="Tahoma"/>
            <family val="2"/>
          </rPr>
          <t xml:space="preserve">jx:each (items="claimVO.claimSummaryDetails" var="summary" lastCell="L24" select="summary.budgetCategory.code == 'OST'")
</t>
        </r>
        <r>
          <rPr>
            <sz val="9"/>
            <color indexed="81"/>
            <rFont val="Tahoma"/>
            <family val="2"/>
          </rPr>
          <t xml:space="preserve">
</t>
        </r>
      </text>
    </comment>
    <comment ref="L25" authorId="0" shapeId="0" xr:uid="{6C4804B9-2F8C-40A7-8662-8FD1D5541CCA}">
      <text>
        <r>
          <rPr>
            <b/>
            <sz val="9"/>
            <color indexed="81"/>
            <rFont val="Tahoma"/>
            <charset val="1"/>
          </rPr>
          <t xml:space="preserve">jx:each (items="claimFilter.filterClaimSummDetailsByCatCode(claim.items[0].claimSummaryDetails,'OST')" var="summary" lastCell="L25" varIndex="index")
</t>
        </r>
        <r>
          <rPr>
            <sz val="9"/>
            <color indexed="81"/>
            <rFont val="Tahoma"/>
            <charset val="1"/>
          </rPr>
          <t xml:space="preserve">
</t>
        </r>
      </text>
    </comment>
    <comment ref="L27" authorId="0" shapeId="0" xr:uid="{6154CEE8-E4A9-4721-A450-979465731EF7}">
      <text>
        <r>
          <rPr>
            <b/>
            <sz val="9"/>
            <color indexed="81"/>
            <rFont val="Tahoma"/>
            <family val="2"/>
          </rPr>
          <t>jx:each (items="claimVO.claims" var="claim" lastCell="L31" direction="RIGHT" varIndex="index" groupBy="claimId" groupOrder="desc" )</t>
        </r>
      </text>
    </comment>
    <comment ref="A30" authorId="0" shapeId="0" xr:uid="{D4391264-9AFA-41D8-838A-6D881AF19F5D}">
      <text>
        <r>
          <rPr>
            <b/>
            <sz val="9"/>
            <color indexed="81"/>
            <rFont val="Tahoma"/>
            <family val="2"/>
          </rPr>
          <t>jx:each (items="claimVO.claimSummaryDetails" var="summary" lastCell="J30" select="summary.budgetCategory.code == 'RSS'" varIndex="index")</t>
        </r>
        <r>
          <rPr>
            <sz val="9"/>
            <color indexed="81"/>
            <rFont val="Tahoma"/>
            <family val="2"/>
          </rPr>
          <t xml:space="preserve">
</t>
        </r>
      </text>
    </comment>
    <comment ref="L30" authorId="0" shapeId="0" xr:uid="{DCF8348E-ED88-4364-81AE-176AE5E8E284}">
      <text>
        <r>
          <rPr>
            <b/>
            <sz val="9"/>
            <color indexed="81"/>
            <rFont val="Tahoma"/>
            <family val="2"/>
          </rPr>
          <t xml:space="preserve">jx:each (items="claimVO.claimSummaryDetails" var="summary" lastCell="L30" select="summary.budgetCategory.code == 'RSS'")
</t>
        </r>
        <r>
          <rPr>
            <sz val="9"/>
            <color indexed="81"/>
            <rFont val="Tahoma"/>
            <family val="2"/>
          </rPr>
          <t xml:space="preserve">
</t>
        </r>
      </text>
    </comment>
    <comment ref="L31" authorId="0" shapeId="0" xr:uid="{1DAF7E8A-863F-4EFA-A9DB-F5DB379B7C69}">
      <text>
        <r>
          <rPr>
            <b/>
            <sz val="9"/>
            <color indexed="81"/>
            <rFont val="Tahoma"/>
            <charset val="1"/>
          </rPr>
          <t xml:space="preserve">jx:each (items="claimFilter.filterClaimSummDetailsByCatCode(claim.items[0].claimSummaryDetails,'RSS')" var="summary" lastCell="L31" varIndex="index")
</t>
        </r>
        <r>
          <rPr>
            <sz val="9"/>
            <color indexed="81"/>
            <rFont val="Tahoma"/>
            <charset val="1"/>
          </rPr>
          <t xml:space="preserve">
</t>
        </r>
      </text>
    </comment>
    <comment ref="L33" authorId="0" shapeId="0" xr:uid="{493DA81D-E907-4128-8EB0-A0D3E7319AF4}">
      <text>
        <r>
          <rPr>
            <b/>
            <sz val="9"/>
            <color indexed="81"/>
            <rFont val="Tahoma"/>
            <family val="2"/>
          </rPr>
          <t>jx:each (items="claimVO.claims" var="claim" lastCell="L44" direction="RIGHT" varIndex="index" groupBy="claimId" groupOrder="desc" )</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<sst xmlns="http://schemas.openxmlformats.org/spreadsheetml/2006/main" count="488" uniqueCount="234">
  <si>
    <t>Fund Requisition Form</t>
  </si>
  <si>
    <t>Requisition Period:</t>
  </si>
  <si>
    <t xml:space="preserve">Project Title: </t>
  </si>
  <si>
    <t>Qualifying Period:</t>
  </si>
  <si>
    <t>(Project Commencement Date) to</t>
  </si>
  <si>
    <t>(Project Completion Date)</t>
  </si>
  <si>
    <t>Project Duration:</t>
  </si>
  <si>
    <t>1. SUMMARY OF FUND REQUISITION</t>
  </si>
  <si>
    <t>Cost Item</t>
  </si>
  <si>
    <t>Grant Amount</t>
  </si>
  <si>
    <t>Claim Amount</t>
  </si>
  <si>
    <t>Remarks</t>
  </si>
  <si>
    <t>$</t>
  </si>
  <si>
    <t>(a) Expenditure on Manpower (EOM)</t>
  </si>
  <si>
    <t>Total for (a)</t>
  </si>
  <si>
    <t>(b) Equipment</t>
  </si>
  <si>
    <t>Total for (b)</t>
  </si>
  <si>
    <t xml:space="preserve">  i) Materials and Consumables</t>
  </si>
  <si>
    <t>Rounded Down</t>
  </si>
  <si>
    <t xml:space="preserve">For Official Use : </t>
  </si>
  <si>
    <t xml:space="preserve">Checked &amp; verifed by </t>
  </si>
  <si>
    <t>Signature :</t>
  </si>
  <si>
    <t>________________________________</t>
  </si>
  <si>
    <t>Name &amp; Signature:</t>
  </si>
  <si>
    <t>Designation :</t>
  </si>
  <si>
    <t>Date:</t>
  </si>
  <si>
    <t>Principal Investigator:</t>
  </si>
  <si>
    <t xml:space="preserve">  ii) Software</t>
  </si>
  <si>
    <t xml:space="preserve">  ii) Other Costs</t>
  </si>
  <si>
    <t xml:space="preserve">We hereby certify that the statement and the accompanying supporting documents are correct and according to the terms and conditions of the grant, and that they have been verified to </t>
  </si>
  <si>
    <t>Name of Principal Investigator:</t>
  </si>
  <si>
    <t>2. BREAKDOWN</t>
  </si>
  <si>
    <t>S/No.</t>
  </si>
  <si>
    <t>Qualifying Items</t>
  </si>
  <si>
    <t>Designation</t>
  </si>
  <si>
    <t>Monthly Basic</t>
  </si>
  <si>
    <t>Employer CPF</t>
  </si>
  <si>
    <t>Other Costs</t>
  </si>
  <si>
    <t>Claim Amount = (o) x (p)</t>
  </si>
  <si>
    <t>(o) $</t>
  </si>
  <si>
    <t>(p) %</t>
  </si>
  <si>
    <t>(ii) Foreign Manpower</t>
  </si>
  <si>
    <t>Qualifying items</t>
  </si>
  <si>
    <t>Total for (a) = (i)+(ii)</t>
  </si>
  <si>
    <t xml:space="preserve"> </t>
  </si>
  <si>
    <t>(i) Local Manpower</t>
  </si>
  <si>
    <t>Sub-total for (i)</t>
  </si>
  <si>
    <t>Sub-total for (ii)</t>
  </si>
  <si>
    <t>Unit Purchase Cost</t>
  </si>
  <si>
    <t>[Name and description]</t>
  </si>
  <si>
    <t>(ii) Software</t>
  </si>
  <si>
    <r>
      <t>(</t>
    </r>
    <r>
      <rPr>
        <b/>
        <sz val="11"/>
        <color rgb="FF000000"/>
        <rFont val="Arial"/>
        <family val="2"/>
      </rPr>
      <t>c) Other Operating Expenses (OOE)</t>
    </r>
  </si>
  <si>
    <t>(i) Materials and Consumables</t>
  </si>
  <si>
    <t>Y/N/NA</t>
  </si>
  <si>
    <t>Important Notes:</t>
  </si>
  <si>
    <t>Description</t>
  </si>
  <si>
    <t>Total Qualifying Direct Costs submitted in this claim</t>
  </si>
  <si>
    <t>Actual Cost Incurred</t>
  </si>
  <si>
    <t>Amount Disbursed</t>
  </si>
  <si>
    <t>* "Cumulative Disbursement" refers to the cumulative actual project costs incurred and grant funds disbursed until the end of the previous quarter, excluding the claim amount requested for the current quarter.</t>
  </si>
  <si>
    <t>Organisation</t>
  </si>
  <si>
    <t>DDMMYY</t>
  </si>
  <si>
    <t>LA/Contract No.:</t>
  </si>
  <si>
    <t>Awarded</t>
  </si>
  <si>
    <t>Name of Researcher</t>
  </si>
  <si>
    <t>Cumulative Disbursement up to Previous Quarter*</t>
  </si>
  <si>
    <t>Disbursement for the Current Quarter</t>
  </si>
  <si>
    <t>Equipment</t>
  </si>
  <si>
    <t>OOE</t>
  </si>
  <si>
    <t>Remaining Grant Balance</t>
  </si>
  <si>
    <t>Overall Project Involvement Period</t>
  </si>
  <si>
    <r>
      <t xml:space="preserve">Involvement period for </t>
    </r>
    <r>
      <rPr>
        <b/>
        <u/>
        <sz val="9"/>
        <color rgb="FFFF0000"/>
        <rFont val="Arial"/>
        <family val="2"/>
      </rPr>
      <t>current claim</t>
    </r>
  </si>
  <si>
    <t>Cumulative disbursement as a % of Grant Amount including current claims</t>
  </si>
  <si>
    <t>any other incentives from  any other government agencies.</t>
  </si>
  <si>
    <t>*Level of Support</t>
  </si>
  <si>
    <t xml:space="preserve">*Level of Support </t>
  </si>
  <si>
    <t>A. EOM</t>
  </si>
  <si>
    <t>Cumulative Claims Amount To-Date (S$)</t>
  </si>
  <si>
    <t>Item Code</t>
  </si>
  <si>
    <t>Staff Category</t>
  </si>
  <si>
    <t>Quantity</t>
  </si>
  <si>
    <t>Unit Cost / Head / Year</t>
  </si>
  <si>
    <t>(S$)</t>
  </si>
  <si>
    <t>Subtotal (S$)</t>
  </si>
  <si>
    <t>Total</t>
  </si>
  <si>
    <t>B. EQUIPMENT</t>
  </si>
  <si>
    <t>Item Description</t>
  </si>
  <si>
    <t>Unit Cost</t>
  </si>
  <si>
    <t>C. OOE</t>
  </si>
  <si>
    <t>For reference</t>
  </si>
  <si>
    <t>Awarded Grant Amount</t>
  </si>
  <si>
    <t>Grand Total</t>
  </si>
  <si>
    <t>As per Summary Page</t>
  </si>
  <si>
    <t xml:space="preserve">Difference </t>
  </si>
  <si>
    <t>Claim Amount for Current Quarter</t>
  </si>
  <si>
    <t>Cumulative Claim Amount To-Date (S$)</t>
  </si>
  <si>
    <t xml:space="preserve">  i) Salary (Local Manpower)</t>
  </si>
  <si>
    <t xml:space="preserve">  ii) Salary (Foreign Manpower)</t>
  </si>
  <si>
    <t xml:space="preserve">  i) Equipment</t>
  </si>
  <si>
    <t>Sub-total</t>
  </si>
  <si>
    <t>Overseas Travel</t>
  </si>
  <si>
    <t>(f) Indirect Costs (Overheads)</t>
  </si>
  <si>
    <t>*Please refer to point (2) under Important Notes for Indirect Costs (Overheads) (Table 2f)</t>
  </si>
  <si>
    <t xml:space="preserve">Total for (f) </t>
  </si>
  <si>
    <t>(iii) Other Costs</t>
  </si>
  <si>
    <t>Total for (c) = (i)+(ii)+(ii)</t>
  </si>
  <si>
    <t>Total for (c)</t>
  </si>
  <si>
    <t xml:space="preserve">Tel : </t>
  </si>
  <si>
    <t>(c) Other Operating Expenses (OOE)</t>
  </si>
  <si>
    <t>(d) Overseas Travel</t>
  </si>
  <si>
    <t xml:space="preserve">  i) Overseas Travel</t>
  </si>
  <si>
    <t>Total for (d)</t>
  </si>
  <si>
    <t>(e) Research Scholarship</t>
  </si>
  <si>
    <t>Total for (e)</t>
  </si>
  <si>
    <t xml:space="preserve">  i) Research Scholarship</t>
  </si>
  <si>
    <t>(f) Indirect Costs</t>
  </si>
  <si>
    <t>Total for (f)</t>
  </si>
  <si>
    <t>GRAND TOTAL (a+b+c+d+e+f)</t>
  </si>
  <si>
    <t>Date of Travel</t>
  </si>
  <si>
    <t>Destination/Purpose</t>
  </si>
  <si>
    <t>3. Overseas conferences should be directly relevant and necessary to accomplish the project milestones/deliverables for the Principal Investigator, Co-Investigators and research staff funded under the project grant. Students’ expenses are not supported unless they are PhD students who are presenting papers.</t>
  </si>
  <si>
    <r>
      <rPr>
        <b/>
        <sz val="11"/>
        <color theme="1"/>
        <rFont val="Arial"/>
        <family val="2"/>
      </rPr>
      <t>Important Notes</t>
    </r>
    <r>
      <rPr>
        <sz val="11"/>
        <color theme="1"/>
        <rFont val="Arial"/>
        <family val="2"/>
      </rPr>
      <t>:</t>
    </r>
  </si>
  <si>
    <t>Monthly Cost</t>
  </si>
  <si>
    <t xml:space="preserve">Name of Chief Financial Officer (or equivalent) : </t>
  </si>
  <si>
    <t>Cumulative Disbursement up to Previous Quarter</t>
  </si>
  <si>
    <t>D. OVERSEAS TRAVEL</t>
  </si>
  <si>
    <t>E. RESEARCH SCHOLARSHIP</t>
  </si>
  <si>
    <t>Total (A) + (B) + (C) + (D) + (E)</t>
  </si>
  <si>
    <t>Indirect Costs (where applicable)</t>
  </si>
  <si>
    <t>DDMMYY - DDMMYY</t>
  </si>
  <si>
    <t xml:space="preserve">(g) Cumulative Amount Claimed to Date </t>
  </si>
  <si>
    <t xml:space="preserve">Appendix B (Grant Details) of the Letter of Award. We also certify that we have not sought, and will not seek, reimbursement for the same item of expenditure under </t>
  </si>
  <si>
    <t>their original source documents. We confirm that, inclusive of this claim, the cumulative amounts claimed do not exceed the allocated grant for each individual line item listed in</t>
  </si>
  <si>
    <t>Invoice Date</t>
  </si>
  <si>
    <t>2. Manpower related costs that fall under OOE include visiting professors/experts and professional fees.</t>
  </si>
  <si>
    <t>1. Only for qualifying cost items provided for in the approved grant by EMA. Indicate in the Remarks column the Item Code of the approved equipment cost item as stated in the Appendix B of the Letter of Award.</t>
  </si>
  <si>
    <t>1. Only for qualifying cost items provided for in the approved grant by EMA. Indicate in the Remarks column the Item Code of the approved OOE cost item as stated in Appendix B of the Letter of Award.</t>
  </si>
  <si>
    <t>1. Only for qualifying cost items provided for in the approved grant by EMA. Indicate in the Remarks column the Item Code of the approved overseas travel cost item as stated in Appendix B of the Letter of Award.</t>
  </si>
  <si>
    <t>1. Only for qualifying cost items provided for in the approved grant by EMA. Indicate in the Remarks column the Item Code of the approved research scholarship cost item as stated in Appendix B of the Letter of Award.</t>
  </si>
  <si>
    <t>1. Only qualifying cost items provided for in the approved grant by EMA shall be considered in the Total Qualifying Direct Costs submitted in this claim.</t>
  </si>
  <si>
    <t>Name of Scholar</t>
  </si>
  <si>
    <t>Related Company?
(if Y, indicate name)</t>
  </si>
  <si>
    <t xml:space="preserve">2. Please include soft copies of invoices ≥ $1,000. EMA may request for additional copies of other invoices. </t>
  </si>
  <si>
    <t>2. For all cost categories (i.e. EOM, Equipment, OOE, Overseas Travel and Research Scholarship), the level of support is prescribed as follows - Qualifying direct costs incurred by Institutes of Higher Learning (IHLs), public sector agencies and not-for-profit organisations will be supported at 100%, while qualifying directs costs incurred by companies and company-affiliated research entities will be supported at 70%.</t>
  </si>
  <si>
    <t>6. EOM components supportable under the EP grant are as prescribed in the prevailing version of the EP Guidelines.</t>
  </si>
  <si>
    <t>(a) EOM</t>
  </si>
  <si>
    <t>1. Only for qualifying cost items provided for in the approved grant by EMA. Indicate in the Remarks column the Item Code of the approved EOM item as stated in Appendix B of the Letter of Award.</t>
  </si>
  <si>
    <t>*Please refer to point (2) under Important Notes for EOM (Table 2a)</t>
  </si>
  <si>
    <t>EOM</t>
  </si>
  <si>
    <t>3. Postgraduate stipend must align with the prevailing rates set by the Ministry of Education. Postgraduate stipend and tuition support will not attract indirect costs.</t>
  </si>
  <si>
    <t>4. Undergraduate stipend and tuition support are not allowable.</t>
  </si>
  <si>
    <r>
      <t xml:space="preserve">5. Please include relevant supporting document for </t>
    </r>
    <r>
      <rPr>
        <u/>
        <sz val="11"/>
        <color theme="1"/>
        <rFont val="Arial"/>
        <family val="2"/>
      </rPr>
      <t>all</t>
    </r>
    <r>
      <rPr>
        <sz val="11"/>
        <color theme="1"/>
        <rFont val="Arial"/>
        <family val="2"/>
      </rPr>
      <t xml:space="preserve"> research scholarship claims detailed above. EMA may request for additional supporting documents for the claims.</t>
    </r>
  </si>
  <si>
    <t>Host Institution:</t>
  </si>
  <si>
    <t>Item Code / Remarks</t>
  </si>
  <si>
    <t>*Please refer to points (2) and (3) under Important Notes for EOM (Table 2a)</t>
  </si>
  <si>
    <t>3. For EOM, the level of support also includes the Researcher's level of involvement in the project. E.g. if the Researcher spends 30% of his/her time on the project, the level of support for the cost item will be reduced by an additional 70%. If the Researcher's level of involvement is less than 100%, please indicate the level of involvement in the Remarks column.</t>
  </si>
  <si>
    <t>*Please refer to point (2) under Important Notes for EOM (Table 2a) and point (2) under Important Notes for Equipment (Table 2b)</t>
  </si>
  <si>
    <t xml:space="preserve">3. OOE components supportable under the EP grant are as prescribed in the prevailing version of the EP Guidelines. </t>
  </si>
  <si>
    <t>4. For publication page charges for journal papers or additional pages in conference papers, please indicate (i) number of papers to be published / presented and (ii) cost of publishing per paper in the description. Please also submit soft copies of the papers published / presented.</t>
  </si>
  <si>
    <t>6. Research Scholarship components supportable under the EP grant are as prescribed in the prevailing version of the EP Guidelines.</t>
  </si>
  <si>
    <t>3. Indirect Costs components supportable under the EP grant are as prescribed in the prevailing version of the EP Guidelines.</t>
  </si>
  <si>
    <t>2. For Research Scholarship, the level of support also includes the Scholar's level of involvement in the project. E.g. if the Scholar spends 30% of his/her time on the project, the level of support for the cost item will be reduced by an additional 70%. If the Scholar's level of involvement is less than 100%, please indicate the level of involvement in the Remarks column.</t>
  </si>
  <si>
    <t>*Please refer to point (2) under Important Notes for EOM (Table 2a) and point (2) under Important Notes for Software (Table 2cii)</t>
  </si>
  <si>
    <t>*Please refer to point (2) under Important Notes for EOM (Table 2a) and point (2) under Important Notes for Research Scholarship (Table 2e)</t>
  </si>
  <si>
    <t xml:space="preserve">3. For Visiting Professors, please include as supporting documents (i) letter of offer clearly stating the amount to be paid to the Visiting Professor, (ii) hotel and airfare bills, (iii) documents showing the justification for engaging the Visiting Professor, and (iv) proof of payment to the Visiting Professor, showing the amount to be paid in SGD, foreign currency, exchange rate, bank charges etc.
</t>
  </si>
  <si>
    <t xml:space="preserve">5. Please include soft copies of invoices ≥ $1,000. EMA may request for additional copies of other invoices. </t>
  </si>
  <si>
    <t xml:space="preserve">6. OOE components supportable under the EP grant are as prescribed in the prevailing version of the EP Guidelines. </t>
  </si>
  <si>
    <t>5. Please include soft copies of invoices ≥ $1,000. EMA may request for additional copies of other invoices.</t>
  </si>
  <si>
    <t>6. Overseas Travel components supportable under the EP grant are as prescribed in the prevailing version of the EP Guidelines.</t>
  </si>
  <si>
    <r>
      <t xml:space="preserve">5. Please include payslips, payroll records and records that show posting of payroll amounts to the General Ledger (e.g. Accounting Transactions Reports) for </t>
    </r>
    <r>
      <rPr>
        <u/>
        <sz val="11"/>
        <color theme="1"/>
        <rFont val="Arial"/>
        <family val="2"/>
      </rPr>
      <t>all</t>
    </r>
    <r>
      <rPr>
        <sz val="11"/>
        <color theme="1"/>
        <rFont val="Arial"/>
        <family val="2"/>
      </rPr>
      <t xml:space="preserve"> EOM claims detailed above. EMA may request for additional supporting documents for the claims.</t>
    </r>
  </si>
  <si>
    <t xml:space="preserve">4. Please include as supporting documents: (i) invitation letters/registration forms of the event/workshop/conference, (ii) email approval from Host Institution for the trip, (iii) air tickets (including boarding passes etc. to show it is economy class, and justifications for the purchase of air tickets if the travel dates are longer than the event dates), (v) hotel and conference fee bills, stating the amount in foreign currency and conversion to SGD (or proof of payment in SGD), (vi) documentation to support subsistence allowance for the trip, (vii) documentation to support land transport expenses, (viii) papers presented at the event/workshop/conference (where applicable), and (ix) any other documentation perceived necessary to support the expenses (e.g. visa fees etc.).
</t>
  </si>
  <si>
    <r>
      <t xml:space="preserve">2. Support for indirect costs is allowed </t>
    </r>
    <r>
      <rPr>
        <u/>
        <sz val="11"/>
        <color theme="1"/>
        <rFont val="Arial"/>
        <family val="2"/>
      </rPr>
      <t>only</t>
    </r>
    <r>
      <rPr>
        <sz val="11"/>
        <color theme="1"/>
        <rFont val="Arial"/>
        <family val="2"/>
      </rPr>
      <t xml:space="preserve"> to Singapore-based Institutes of Higher Learning and not-for-profit entities.</t>
    </r>
  </si>
  <si>
    <t>4. All Names, Designations and Overall Project Involvement Periods for every Researcher should agree with Form 1b. Form 1b must be submitted when there is a new hire.</t>
  </si>
  <si>
    <t>2. For all overseas travel-related expenses and cost of living allowances, the organisation’s policy must be consistently adhered to and organisations may be requested to certify that such payments are in accordance with its formal policy.</t>
  </si>
  <si>
    <t>2. Please include soft copies of invoices of equipment ≥ $5,000. EMA may request for additional copies of other invoices.</t>
  </si>
  <si>
    <r>
      <t xml:space="preserve">3. Any equipment purchased and costs associated with the equipment purchase must be </t>
    </r>
    <r>
      <rPr>
        <u/>
        <sz val="11"/>
        <color theme="1"/>
        <rFont val="Arial"/>
        <family val="2"/>
      </rPr>
      <t>directly</t>
    </r>
    <r>
      <rPr>
        <sz val="11"/>
        <color theme="1"/>
        <rFont val="Arial"/>
        <family val="2"/>
      </rPr>
      <t xml:space="preserve"> related to the project work. Equipment components supportable under the EP grant are as prescribed in the prevailing version of the EP Guidelines.</t>
    </r>
  </si>
  <si>
    <r>
      <t xml:space="preserve">3. Any software purchased and costs associated with the software purchase must be </t>
    </r>
    <r>
      <rPr>
        <u/>
        <sz val="11"/>
        <color theme="1"/>
        <rFont val="Arial"/>
        <family val="2"/>
      </rPr>
      <t>directly</t>
    </r>
    <r>
      <rPr>
        <sz val="11"/>
        <color theme="1"/>
        <rFont val="Arial"/>
        <family val="2"/>
      </rPr>
      <t xml:space="preserve"> related to the project work. OOE components supportable under the EP grant are as prescribed in the prevailing version of the EP Guidelines. </t>
    </r>
  </si>
  <si>
    <t>${transaction.manpowerJobDescription}</t>
  </si>
  <si>
    <t>${transaction.manpowerFullName}</t>
  </si>
  <si>
    <t>${transactions.descriptionOfExpenditure == "Monthly Rate"? transactions.qualifyingCost:0.00}</t>
  </si>
  <si>
    <t>${transactions.involvementPeriod}</t>
  </si>
  <si>
    <t>${transactions.levelOfSupportPercentage}</t>
  </si>
  <si>
    <t>${transactions.descriptionOfExpenditure != "Monthly Rate" &amp;&amp; transactions.descriptionOfExpenditure != "Employer CPF"? transactions.qualifyingCost:0.00}</t>
  </si>
  <si>
    <t>${index+1}</t>
  </si>
  <si>
    <t>${transactions.descriptionOfExpenditure}</t>
  </si>
  <si>
    <t>${transactions.invoiceDate}</t>
  </si>
  <si>
    <t>${transactions.unitPrice}</t>
  </si>
  <si>
    <t>${transactions.periodOfVisit}</t>
  </si>
  <si>
    <t>${transactions.totalAmount}</t>
  </si>
  <si>
    <t>${claimVO.claim.award.title}</t>
  </si>
  <si>
    <t>${claimVO.awardStartDate}</t>
  </si>
  <si>
    <t>Nanyang Technological University</t>
  </si>
  <si>
    <t>${claimVO.claim.rdoName}</t>
  </si>
  <si>
    <t>${claimVO.claim.foName}</t>
  </si>
  <si>
    <t>Date :       ${claimVO.claim.rdoApprovalDate}</t>
  </si>
  <si>
    <t>Date :   ${claimVO.claimFOApprovalDate}</t>
  </si>
  <si>
    <t>${claimVO.awardEndDate}</t>
  </si>
  <si>
    <t>${transaction.manpower.department}</t>
  </si>
  <si>
    <t>${summary.latestApprovedBudget}</t>
  </si>
  <si>
    <t>${claimVO.claimStartAndEndYear}</t>
  </si>
  <si>
    <t>Remaining Grant Balance (S$)</t>
  </si>
  <si>
    <t>Claim Amount for Current Quarter (S$)</t>
  </si>
  <si>
    <t>Cumulative Disbursement up to Previous Quarter (S$)</t>
  </si>
  <si>
    <t>${summary.quarterAdjustedTotal}</t>
  </si>
  <si>
    <t>${summary.approvedBudget}</t>
  </si>
  <si>
    <t>${summary.internalOrderCode.substring(15,20)}</t>
  </si>
  <si>
    <t>${gTransactions.items[0].manpowerJobDescription}</t>
  </si>
  <si>
    <t>${gTransactions.items[0].manpowerFullName}</t>
  </si>
  <si>
    <t>C-${index+1}</t>
  </si>
  <si>
    <t>A-${index+1}</t>
  </si>
  <si>
    <t>${index==0?summary.groupedTransactions[0].transactions[0].claimSummary.cumExpenseUptoPrevPeriod:""}</t>
  </si>
  <si>
    <t>E-${index+1}</t>
  </si>
  <si>
    <t>D-${index+1}</t>
  </si>
  <si>
    <t>B-${index+1}</t>
  </si>
  <si>
    <t>${claimVO.claim.award.durationInMonths}</t>
  </si>
  <si>
    <t>${ind+1}</t>
  </si>
  <si>
    <t>${date.formatter("dd/MM/yyyy").format(claimVO.claim.award.beginDate)} - ${date.formatter("dd/MM/yyyy").format(claimVO.claim.award.finalExpirationDate)}</t>
  </si>
  <si>
    <t>$[SUM(U_(J11))]</t>
  </si>
  <si>
    <t>$[SUM(U_(L11))]</t>
  </si>
  <si>
    <t>${claimVO.claim.award.sponsorAwardNumber}</t>
  </si>
  <si>
    <t>${manpwr.department}</t>
  </si>
  <si>
    <t>${transactions.descriptionOfExpenditure == "Employer CPF"? transactions.qualifyingCost:" "}</t>
  </si>
  <si>
    <t>${date.formatter("MMM").format(claim.items[0].startDate)} - ${date.formatter("MMM yy").format(claim.items[0].endDate)}</t>
  </si>
  <si>
    <t>${date.formatter("MMM").format(claim.items[0].startDate)} - ${date.formatter("MMM yy").format(claim.items[0].endDate)} (S$)</t>
  </si>
  <si>
    <t>${summary.quarterTotalAmount?summary.quarterTotalAmount:0.00}</t>
  </si>
  <si>
    <t>${summary.cumExpenseUptoPrevClaim}</t>
  </si>
  <si>
    <t>${summary.amountRequested}</t>
  </si>
  <si>
    <t>${claimVO.summaryOOE_MACSumValues.amountRequestedForOOEMAC}</t>
  </si>
  <si>
    <t>${aggregator.sum(claim.items[0].claimSummaryDetails,"quarterTotalAmount")}</t>
  </si>
  <si>
    <t>$[SUM(U_(M44,L38))]</t>
  </si>
  <si>
    <t>${date.formatter("dd/MM/yyyy").format(manpwr.items[0].chargeStartDate)} - ${date.formatter("dd/MM/yyyy").format(manpwr.items[manpwr.items.size()-1].chargeEndDate)}</t>
  </si>
  <si>
    <t>${date.formatter("dd/MM/yyyy").format(claimVO.claim.startDate)} - ${date.formatter("dd/MM/yyyy").format(claimVO.claim.endDate)}</t>
  </si>
  <si>
    <t xml:space="preserve">  i) Overheads (= ${claimVO.oHPercentage}% of (a+b+c+d))</t>
  </si>
  <si>
    <t>${claimVO.oHPercentage}%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</si>
</sst>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43" formatCode="_(* #,##0.00_);_(* \(#,##0.00\);_(* &quot;-&quot;??_);_(@_)"/>
    <numFmt numFmtId="164" formatCode="_ * #,##0.00_ ;_ * \-#,##0.00_ ;_ * &quot;-&quot;??_ ;_ @_ "/>
    <numFmt numFmtId="165" formatCode="[$-14809]dd/mm/yy;@"/>
    <numFmt numFmtId="166" formatCode="_([$$-4809]* #,##0.00_);_([$$-4809]* \(#,##0.00\);_([$$-4809]* &quot;-&quot;??_);_(@_)"/>
    <numFmt numFmtId="167" formatCode="0.0%"/>
    <numFmt numFmtId="168" formatCode="dd\/mm\/yy"/>
    <numFmt numFmtId="169" formatCode="#,##0.00;[Red]#,##0.00"/>
    <numFmt numFmtId="170" formatCode="dd\/mm\/yyyy"/>
  </numFmts>
  <fonts count="34" x14ac:knownFonts="1">
    <font>
      <sz val="11"/>
      <color theme="1"/>
      <name val="Calibri"/>
      <family val="2"/>
      <scheme val="minor"/>
    </font>
    <font>
      <sz val="11"/>
      <color theme="1"/>
      <name val="Calibri"/>
      <family val="2"/>
      <scheme val="minor"/>
    </font>
    <font>
      <b/>
      <sz val="12"/>
      <color theme="1"/>
      <name val="Arial"/>
      <family val="2"/>
    </font>
    <font>
      <b/>
      <sz val="10"/>
      <color theme="1"/>
      <name val="Arial"/>
      <family val="2"/>
    </font>
    <font>
      <sz val="10"/>
      <color theme="1"/>
      <name val="Arial"/>
      <family val="2"/>
    </font>
    <font>
      <sz val="11"/>
      <color theme="1"/>
      <name val="Arial"/>
      <family val="2"/>
    </font>
    <font>
      <sz val="11"/>
      <name val="Arial"/>
      <family val="2"/>
    </font>
    <font>
      <u/>
      <sz val="11"/>
      <color theme="1"/>
      <name val="Arial"/>
      <family val="2"/>
    </font>
    <font>
      <i/>
      <sz val="10"/>
      <name val="Arial"/>
      <family val="2"/>
    </font>
    <font>
      <sz val="8"/>
      <color theme="1"/>
      <name val="Arial"/>
      <family val="2"/>
    </font>
    <font>
      <b/>
      <sz val="11"/>
      <color theme="1"/>
      <name val="Arial"/>
      <family val="2"/>
    </font>
    <font>
      <b/>
      <sz val="9"/>
      <color theme="1"/>
      <name val="Arial"/>
      <family val="2"/>
    </font>
    <font>
      <b/>
      <sz val="9"/>
      <name val="Arial"/>
      <family val="2"/>
    </font>
    <font>
      <sz val="9"/>
      <color theme="1"/>
      <name val="Arial"/>
      <family val="2"/>
    </font>
    <font>
      <b/>
      <strike/>
      <sz val="9"/>
      <name val="Arial"/>
      <family val="2"/>
    </font>
    <font>
      <b/>
      <u/>
      <sz val="11"/>
      <color theme="1"/>
      <name val="Arial"/>
      <family val="2"/>
    </font>
    <font>
      <sz val="10"/>
      <name val="Arial"/>
      <family val="2"/>
    </font>
    <font>
      <sz val="9"/>
      <name val="Arial"/>
      <family val="2"/>
    </font>
    <font>
      <sz val="9"/>
      <color indexed="81"/>
      <name val="Tahoma"/>
      <family val="2"/>
    </font>
    <font>
      <sz val="11"/>
      <color rgb="FF000000"/>
      <name val="Arial"/>
      <family val="2"/>
    </font>
    <font>
      <b/>
      <sz val="11"/>
      <color rgb="FF000000"/>
      <name val="Arial"/>
      <family val="2"/>
    </font>
    <font>
      <b/>
      <sz val="9"/>
      <color rgb="FF000000"/>
      <name val="Arial"/>
      <family val="2"/>
    </font>
    <font>
      <b/>
      <u/>
      <sz val="9"/>
      <color rgb="FFFF0000"/>
      <name val="Arial"/>
      <family val="2"/>
    </font>
    <font>
      <sz val="10"/>
      <color rgb="FF000000"/>
      <name val="Arial"/>
      <family val="2"/>
    </font>
    <font>
      <b/>
      <sz val="8"/>
      <color rgb="FF000000"/>
      <name val="Arial"/>
      <family val="2"/>
    </font>
    <font>
      <sz val="9"/>
      <color rgb="FF000000"/>
      <name val="Arial"/>
      <family val="2"/>
    </font>
    <font>
      <sz val="8"/>
      <color rgb="FF000000"/>
      <name val="Arial"/>
      <family val="2"/>
    </font>
    <font>
      <u val="singleAccounting"/>
      <sz val="11"/>
      <color theme="1"/>
      <name val="Arial"/>
      <family val="2"/>
    </font>
    <font>
      <b/>
      <sz val="9"/>
      <color indexed="81"/>
      <name val="Tahoma"/>
      <family val="2"/>
    </font>
    <font>
      <b/>
      <sz val="11"/>
      <color indexed="81"/>
      <name val="Tahoma"/>
      <family val="2"/>
    </font>
    <font>
      <b/>
      <sz val="10"/>
      <color indexed="81"/>
      <name val="Tahoma"/>
      <family val="2"/>
    </font>
    <font>
      <b/>
      <sz val="9"/>
      <color indexed="81"/>
      <name val="Tahoma"/>
      <charset val="1"/>
    </font>
    <font>
      <sz val="9"/>
      <color indexed="81"/>
      <name val="Tahoma"/>
      <charset val="1"/>
    </font>
    <font>
      <b/>
      <sz val="9"/>
      <color theme="0"/>
      <name val="Arial"/>
      <family val="2"/>
    </font>
  </fonts>
  <fills count="9">
    <fill>
      <patternFill patternType="none"/>
    </fill>
    <fill>
      <patternFill patternType="gray125"/>
    </fill>
    <fill>
      <patternFill patternType="solid">
        <fgColor theme="0" tint="-0.14999847407452621"/>
        <bgColor indexed="64"/>
      </patternFill>
    </fill>
    <fill>
      <patternFill patternType="darkUp"/>
    </fill>
    <fill>
      <patternFill patternType="lightDown"/>
    </fill>
    <fill>
      <patternFill patternType="lightDown">
        <bgColor theme="0" tint="-0.14996795556505021"/>
      </patternFill>
    </fill>
    <fill>
      <patternFill patternType="solid">
        <fgColor rgb="FFD0CECE"/>
        <bgColor indexed="64"/>
      </patternFill>
    </fill>
    <fill>
      <patternFill patternType="solid">
        <fgColor theme="0" tint="-0.14996795556505021"/>
        <bgColor indexed="64"/>
      </patternFill>
    </fill>
    <fill>
      <patternFill patternType="solid">
        <fgColor theme="0"/>
        <bgColor indexed="64"/>
      </patternFill>
    </fill>
  </fills>
  <borders count="5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bottom style="double">
        <color indexed="64"/>
      </bottom>
      <diagonal/>
    </border>
    <border>
      <left style="thin">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404">
    <xf numFmtId="0" fontId="0" fillId="0" borderId="0" xfId="0"/>
    <xf numFmtId="0" fontId="4" fillId="0" borderId="0" xfId="0" applyFont="1"/>
    <xf numFmtId="0" fontId="9" fillId="0" borderId="0" xfId="0" applyFont="1"/>
    <xf numFmtId="0" fontId="10" fillId="0" borderId="0" xfId="0" applyFont="1"/>
    <xf numFmtId="0" fontId="11" fillId="2" borderId="3" xfId="0" applyFont="1" applyFill="1" applyBorder="1"/>
    <xf numFmtId="0" fontId="11" fillId="2" borderId="13" xfId="0" applyFont="1" applyFill="1" applyBorder="1"/>
    <xf numFmtId="0" fontId="13" fillId="0" borderId="19" xfId="0" applyFont="1" applyBorder="1"/>
    <xf numFmtId="0" fontId="10" fillId="0" borderId="0" xfId="0" applyFont="1" applyAlignment="1">
      <alignment wrapText="1"/>
    </xf>
    <xf numFmtId="0" fontId="11" fillId="2" borderId="3" xfId="0" applyFont="1" applyFill="1" applyBorder="1" applyAlignment="1">
      <alignment horizontal="center"/>
    </xf>
    <xf numFmtId="0" fontId="12" fillId="2" borderId="3" xfId="0" applyFont="1" applyFill="1" applyBorder="1" applyAlignment="1">
      <alignment horizontal="center" wrapText="1"/>
    </xf>
    <xf numFmtId="0" fontId="12" fillId="2" borderId="8" xfId="0" applyFont="1" applyFill="1" applyBorder="1" applyAlignment="1">
      <alignment horizontal="center" wrapText="1"/>
    </xf>
    <xf numFmtId="0" fontId="12" fillId="2" borderId="8" xfId="0" applyFont="1" applyFill="1" applyBorder="1" applyAlignment="1">
      <alignment horizontal="center"/>
    </xf>
    <xf numFmtId="0" fontId="12" fillId="0" borderId="2" xfId="0" applyFont="1" applyBorder="1" applyAlignment="1">
      <alignment wrapText="1"/>
    </xf>
    <xf numFmtId="0" fontId="17" fillId="0" borderId="2" xfId="0" applyFont="1" applyBorder="1"/>
    <xf numFmtId="0" fontId="17" fillId="0" borderId="2" xfId="0" applyFont="1" applyBorder="1" applyAlignment="1">
      <alignment wrapText="1"/>
    </xf>
    <xf numFmtId="0" fontId="12" fillId="2" borderId="6" xfId="0" applyFont="1" applyFill="1" applyBorder="1" applyAlignment="1">
      <alignment horizontal="right" wrapText="1"/>
    </xf>
    <xf numFmtId="43" fontId="12" fillId="2" borderId="6" xfId="0" applyNumberFormat="1" applyFont="1" applyFill="1" applyBorder="1"/>
    <xf numFmtId="0" fontId="12" fillId="2" borderId="7" xfId="0" applyFont="1" applyFill="1" applyBorder="1" applyAlignment="1">
      <alignment horizontal="right" wrapText="1"/>
    </xf>
    <xf numFmtId="43" fontId="17" fillId="3" borderId="13" xfId="0" applyNumberFormat="1" applyFont="1" applyFill="1" applyBorder="1"/>
    <xf numFmtId="0" fontId="17" fillId="2" borderId="19" xfId="0" applyFont="1" applyFill="1" applyBorder="1" applyAlignment="1">
      <alignment wrapText="1"/>
    </xf>
    <xf numFmtId="43" fontId="17" fillId="3" borderId="19" xfId="0" applyNumberFormat="1" applyFont="1" applyFill="1" applyBorder="1"/>
    <xf numFmtId="0" fontId="13" fillId="2" borderId="17" xfId="0" applyFont="1" applyFill="1" applyBorder="1"/>
    <xf numFmtId="0" fontId="12" fillId="2" borderId="2" xfId="0" applyFont="1" applyFill="1" applyBorder="1" applyAlignment="1">
      <alignment horizontal="right" wrapText="1"/>
    </xf>
    <xf numFmtId="43" fontId="12" fillId="2" borderId="2" xfId="0" applyNumberFormat="1" applyFont="1" applyFill="1" applyBorder="1"/>
    <xf numFmtId="0" fontId="12" fillId="2" borderId="18" xfId="0" applyFont="1" applyFill="1" applyBorder="1" applyAlignment="1">
      <alignment horizontal="right" wrapText="1"/>
    </xf>
    <xf numFmtId="0" fontId="11" fillId="2" borderId="19" xfId="0" applyFont="1" applyFill="1" applyBorder="1" applyAlignment="1">
      <alignment wrapText="1"/>
    </xf>
    <xf numFmtId="0" fontId="12" fillId="2" borderId="7" xfId="0" applyFont="1" applyFill="1" applyBorder="1" applyAlignment="1">
      <alignment horizontal="center" wrapText="1"/>
    </xf>
    <xf numFmtId="0" fontId="12" fillId="2" borderId="12" xfId="0" applyFont="1" applyFill="1" applyBorder="1" applyAlignment="1">
      <alignment horizontal="center" wrapText="1"/>
    </xf>
    <xf numFmtId="0" fontId="11" fillId="0" borderId="19" xfId="0" applyFont="1" applyBorder="1"/>
    <xf numFmtId="0" fontId="11" fillId="2" borderId="13" xfId="0" applyFont="1" applyFill="1" applyBorder="1" applyAlignment="1">
      <alignment horizontal="center"/>
    </xf>
    <xf numFmtId="0" fontId="11" fillId="2" borderId="3" xfId="0" applyFont="1" applyFill="1" applyBorder="1" applyAlignment="1">
      <alignment wrapText="1"/>
    </xf>
    <xf numFmtId="0" fontId="13" fillId="2" borderId="13" xfId="0" applyFont="1" applyFill="1" applyBorder="1"/>
    <xf numFmtId="0" fontId="13" fillId="2" borderId="13" xfId="0" applyFont="1" applyFill="1" applyBorder="1" applyAlignment="1">
      <alignment wrapText="1"/>
    </xf>
    <xf numFmtId="0" fontId="12" fillId="2" borderId="13" xfId="0" applyFont="1" applyFill="1" applyBorder="1" applyAlignment="1">
      <alignment horizontal="center" wrapText="1"/>
    </xf>
    <xf numFmtId="43" fontId="13" fillId="0" borderId="19" xfId="0" applyNumberFormat="1" applyFont="1" applyBorder="1" applyAlignment="1">
      <alignment horizontal="right"/>
    </xf>
    <xf numFmtId="0" fontId="13" fillId="2" borderId="2" xfId="0" applyFont="1" applyFill="1" applyBorder="1" applyAlignment="1">
      <alignment horizontal="center"/>
    </xf>
    <xf numFmtId="0" fontId="13" fillId="2" borderId="2" xfId="0" applyFont="1" applyFill="1" applyBorder="1"/>
    <xf numFmtId="43" fontId="13" fillId="3" borderId="19" xfId="0" applyNumberFormat="1" applyFont="1" applyFill="1" applyBorder="1"/>
    <xf numFmtId="0" fontId="13" fillId="2" borderId="19" xfId="0" applyFont="1" applyFill="1" applyBorder="1" applyAlignment="1">
      <alignment wrapText="1"/>
    </xf>
    <xf numFmtId="4" fontId="13" fillId="0" borderId="0" xfId="0" applyNumberFormat="1" applyFont="1"/>
    <xf numFmtId="0" fontId="19" fillId="0" borderId="0" xfId="0" applyFont="1"/>
    <xf numFmtId="0" fontId="11" fillId="2" borderId="13" xfId="0" applyFont="1" applyFill="1" applyBorder="1" applyAlignment="1">
      <alignment horizontal="center" wrapText="1"/>
    </xf>
    <xf numFmtId="0" fontId="17" fillId="2" borderId="2" xfId="0" applyFont="1" applyFill="1" applyBorder="1"/>
    <xf numFmtId="0" fontId="12" fillId="0" borderId="2" xfId="0" applyFont="1" applyBorder="1"/>
    <xf numFmtId="0" fontId="11" fillId="2" borderId="19" xfId="0" applyFont="1" applyFill="1" applyBorder="1"/>
    <xf numFmtId="0" fontId="12" fillId="2" borderId="13" xfId="0" applyFont="1" applyFill="1" applyBorder="1" applyAlignment="1">
      <alignment horizontal="left" wrapText="1"/>
    </xf>
    <xf numFmtId="0" fontId="13" fillId="2" borderId="19" xfId="0" applyFont="1" applyFill="1" applyBorder="1" applyAlignment="1">
      <alignment horizontal="left" wrapText="1"/>
    </xf>
    <xf numFmtId="0" fontId="17" fillId="2" borderId="1" xfId="0" applyFont="1" applyFill="1" applyBorder="1"/>
    <xf numFmtId="0" fontId="13" fillId="2" borderId="2" xfId="0" applyFont="1" applyFill="1" applyBorder="1" applyAlignment="1">
      <alignment horizontal="center" wrapText="1"/>
    </xf>
    <xf numFmtId="0" fontId="11" fillId="2" borderId="18" xfId="0" applyFont="1" applyFill="1" applyBorder="1" applyAlignment="1">
      <alignment horizontal="right" wrapText="1"/>
    </xf>
    <xf numFmtId="0" fontId="11" fillId="2" borderId="2" xfId="0" applyFont="1" applyFill="1" applyBorder="1" applyAlignment="1">
      <alignment horizontal="right"/>
    </xf>
    <xf numFmtId="9" fontId="13" fillId="0" borderId="19" xfId="0" applyNumberFormat="1" applyFont="1" applyBorder="1" applyAlignment="1">
      <alignment horizontal="center"/>
    </xf>
    <xf numFmtId="0" fontId="11" fillId="0" borderId="0" xfId="0" applyFont="1"/>
    <xf numFmtId="166" fontId="11" fillId="0" borderId="0" xfId="0" applyNumberFormat="1" applyFont="1"/>
    <xf numFmtId="166" fontId="11" fillId="0" borderId="19" xfId="0" applyNumberFormat="1" applyFont="1" applyBorder="1"/>
    <xf numFmtId="0" fontId="4" fillId="0" borderId="0" xfId="0" applyFont="1" applyAlignment="1" applyProtection="1">
      <alignment horizontal="center"/>
      <protection locked="0"/>
    </xf>
    <xf numFmtId="0" fontId="5" fillId="0" borderId="0" xfId="0" applyFont="1" applyProtection="1">
      <protection locked="0"/>
    </xf>
    <xf numFmtId="0" fontId="5" fillId="0" borderId="1" xfId="0" applyFont="1" applyBorder="1" applyProtection="1">
      <protection locked="0"/>
    </xf>
    <xf numFmtId="0" fontId="6" fillId="0" borderId="1" xfId="0" applyFont="1" applyBorder="1" applyProtection="1">
      <protection locked="0"/>
    </xf>
    <xf numFmtId="0" fontId="6" fillId="0" borderId="1" xfId="0" applyFont="1" applyBorder="1" applyAlignment="1" applyProtection="1">
      <alignment horizontal="center"/>
      <protection locked="0"/>
    </xf>
    <xf numFmtId="0" fontId="5" fillId="0" borderId="2" xfId="0" applyFont="1" applyBorder="1" applyProtection="1">
      <protection locked="0"/>
    </xf>
    <xf numFmtId="0" fontId="6" fillId="0" borderId="2" xfId="0" applyFont="1" applyBorder="1" applyProtection="1">
      <protection locked="0"/>
    </xf>
    <xf numFmtId="0" fontId="6" fillId="0" borderId="2" xfId="0" applyFont="1" applyBorder="1" applyAlignment="1" applyProtection="1">
      <alignment horizontal="center"/>
      <protection locked="0"/>
    </xf>
    <xf numFmtId="0" fontId="8" fillId="0" borderId="1" xfId="0" applyFont="1" applyBorder="1" applyProtection="1">
      <protection locked="0"/>
    </xf>
    <xf numFmtId="0" fontId="8" fillId="0" borderId="1" xfId="0" applyFont="1" applyBorder="1" applyAlignment="1" applyProtection="1">
      <alignment horizontal="center"/>
      <protection locked="0"/>
    </xf>
    <xf numFmtId="0" fontId="9" fillId="0" borderId="0" xfId="0" applyFont="1" applyProtection="1">
      <protection locked="0"/>
    </xf>
    <xf numFmtId="0" fontId="10" fillId="0" borderId="0" xfId="0" applyFont="1" applyProtection="1">
      <protection locked="0"/>
    </xf>
    <xf numFmtId="0" fontId="11" fillId="2" borderId="3" xfId="0" applyFont="1" applyFill="1" applyBorder="1" applyProtection="1">
      <protection locked="0"/>
    </xf>
    <xf numFmtId="0" fontId="11" fillId="2" borderId="4" xfId="0" applyFont="1" applyFill="1" applyBorder="1" applyAlignment="1" applyProtection="1">
      <alignment horizontal="center"/>
      <protection locked="0"/>
    </xf>
    <xf numFmtId="0" fontId="11" fillId="2" borderId="17" xfId="0" applyFont="1" applyFill="1" applyBorder="1" applyAlignment="1" applyProtection="1">
      <alignment horizontal="left"/>
      <protection locked="0"/>
    </xf>
    <xf numFmtId="0" fontId="11" fillId="2" borderId="2" xfId="0" applyFont="1" applyFill="1" applyBorder="1" applyAlignment="1" applyProtection="1">
      <alignment horizontal="center"/>
      <protection locked="0"/>
    </xf>
    <xf numFmtId="0" fontId="11" fillId="2" borderId="5" xfId="0" applyFont="1" applyFill="1" applyBorder="1" applyAlignment="1" applyProtection="1">
      <alignment horizontal="center"/>
      <protection locked="0"/>
    </xf>
    <xf numFmtId="0" fontId="13" fillId="2" borderId="6" xfId="0" applyFont="1" applyFill="1" applyBorder="1" applyProtection="1">
      <protection locked="0"/>
    </xf>
    <xf numFmtId="0" fontId="13" fillId="2" borderId="7" xfId="0" applyFont="1" applyFill="1" applyBorder="1" applyProtection="1">
      <protection locked="0"/>
    </xf>
    <xf numFmtId="0" fontId="11" fillId="2" borderId="8" xfId="0" applyFont="1" applyFill="1" applyBorder="1" applyProtection="1">
      <protection locked="0"/>
    </xf>
    <xf numFmtId="0" fontId="11" fillId="2" borderId="9" xfId="0" applyFont="1" applyFill="1" applyBorder="1" applyAlignment="1" applyProtection="1">
      <alignment horizontal="center"/>
      <protection locked="0"/>
    </xf>
    <xf numFmtId="0" fontId="12" fillId="2" borderId="10" xfId="0" applyFont="1" applyFill="1" applyBorder="1" applyAlignment="1" applyProtection="1">
      <alignment horizontal="center"/>
      <protection locked="0"/>
    </xf>
    <xf numFmtId="0" fontId="12" fillId="2" borderId="3" xfId="0" applyFont="1" applyFill="1" applyBorder="1" applyAlignment="1" applyProtection="1">
      <alignment horizontal="center"/>
      <protection locked="0"/>
    </xf>
    <xf numFmtId="0" fontId="11" fillId="2" borderId="7" xfId="0" applyFont="1" applyFill="1" applyBorder="1" applyAlignment="1" applyProtection="1">
      <alignment horizontal="center"/>
      <protection locked="0"/>
    </xf>
    <xf numFmtId="0" fontId="11" fillId="2" borderId="13" xfId="0" applyFont="1" applyFill="1" applyBorder="1" applyProtection="1">
      <protection locked="0"/>
    </xf>
    <xf numFmtId="0" fontId="11" fillId="2" borderId="14" xfId="0" applyFont="1" applyFill="1" applyBorder="1" applyAlignment="1" applyProtection="1">
      <alignment horizontal="center"/>
      <protection locked="0"/>
    </xf>
    <xf numFmtId="0" fontId="14" fillId="2" borderId="13" xfId="0" applyFont="1" applyFill="1" applyBorder="1" applyAlignment="1" applyProtection="1">
      <alignment horizontal="center"/>
      <protection locked="0"/>
    </xf>
    <xf numFmtId="0" fontId="14" fillId="2" borderId="16" xfId="0" applyFont="1" applyFill="1" applyBorder="1" applyAlignment="1" applyProtection="1">
      <alignment horizontal="center"/>
      <protection locked="0"/>
    </xf>
    <xf numFmtId="0" fontId="11" fillId="2" borderId="15" xfId="0" applyFont="1" applyFill="1" applyBorder="1" applyAlignment="1" applyProtection="1">
      <alignment horizontal="center"/>
      <protection locked="0"/>
    </xf>
    <xf numFmtId="0" fontId="11" fillId="2" borderId="16" xfId="0" applyFont="1" applyFill="1" applyBorder="1" applyAlignment="1" applyProtection="1">
      <alignment horizontal="center"/>
      <protection locked="0"/>
    </xf>
    <xf numFmtId="0" fontId="11" fillId="2" borderId="16" xfId="0" applyFont="1" applyFill="1" applyBorder="1" applyProtection="1">
      <protection locked="0"/>
    </xf>
    <xf numFmtId="0" fontId="13" fillId="2" borderId="1" xfId="0" applyFont="1" applyFill="1" applyBorder="1" applyProtection="1">
      <protection locked="0"/>
    </xf>
    <xf numFmtId="0" fontId="13" fillId="2" borderId="15" xfId="0" applyFont="1" applyFill="1" applyBorder="1" applyProtection="1">
      <protection locked="0"/>
    </xf>
    <xf numFmtId="0" fontId="13" fillId="0" borderId="19" xfId="0" applyFont="1" applyBorder="1" applyProtection="1">
      <protection locked="0"/>
    </xf>
    <xf numFmtId="0" fontId="11" fillId="2" borderId="19" xfId="0" applyFont="1" applyFill="1" applyBorder="1" applyAlignment="1" applyProtection="1">
      <alignment horizontal="center"/>
      <protection locked="0"/>
    </xf>
    <xf numFmtId="0" fontId="11" fillId="2" borderId="3" xfId="0" applyFont="1" applyFill="1" applyBorder="1" applyAlignment="1" applyProtection="1">
      <alignment horizontal="center"/>
      <protection locked="0"/>
    </xf>
    <xf numFmtId="0" fontId="13" fillId="0" borderId="8" xfId="0" applyFont="1" applyBorder="1" applyAlignment="1" applyProtection="1">
      <alignment horizontal="left"/>
      <protection locked="0"/>
    </xf>
    <xf numFmtId="0" fontId="11" fillId="2" borderId="13" xfId="0" applyFont="1" applyFill="1" applyBorder="1" applyAlignment="1" applyProtection="1">
      <alignment horizontal="center"/>
      <protection locked="0"/>
    </xf>
    <xf numFmtId="0" fontId="11" fillId="0" borderId="19" xfId="0" applyFont="1" applyBorder="1" applyAlignment="1" applyProtection="1">
      <alignment horizontal="center"/>
      <protection locked="0"/>
    </xf>
    <xf numFmtId="43" fontId="11" fillId="0" borderId="20" xfId="0" applyNumberFormat="1" applyFont="1" applyBorder="1" applyProtection="1">
      <protection locked="0"/>
    </xf>
    <xf numFmtId="43" fontId="11" fillId="0" borderId="19" xfId="0" applyNumberFormat="1" applyFont="1" applyBorder="1" applyProtection="1">
      <protection locked="0"/>
    </xf>
    <xf numFmtId="43" fontId="11" fillId="0" borderId="17" xfId="0" applyNumberFormat="1" applyFont="1" applyBorder="1" applyProtection="1">
      <protection locked="0"/>
    </xf>
    <xf numFmtId="43" fontId="11" fillId="0" borderId="18" xfId="0" applyNumberFormat="1" applyFont="1" applyBorder="1" applyProtection="1">
      <protection locked="0"/>
    </xf>
    <xf numFmtId="0" fontId="5" fillId="0" borderId="5" xfId="0" applyFont="1" applyBorder="1" applyProtection="1">
      <protection locked="0"/>
    </xf>
    <xf numFmtId="0" fontId="5" fillId="0" borderId="6" xfId="0" applyFont="1" applyBorder="1" applyProtection="1">
      <protection locked="0"/>
    </xf>
    <xf numFmtId="0" fontId="4" fillId="0" borderId="6" xfId="0" applyFont="1" applyBorder="1" applyProtection="1">
      <protection locked="0"/>
    </xf>
    <xf numFmtId="0" fontId="5" fillId="0" borderId="7" xfId="0" applyFont="1" applyBorder="1" applyProtection="1">
      <protection locked="0"/>
    </xf>
    <xf numFmtId="0" fontId="15" fillId="0" borderId="11" xfId="0" applyFont="1" applyBorder="1" applyProtection="1">
      <protection locked="0"/>
    </xf>
    <xf numFmtId="0" fontId="5" fillId="0" borderId="12" xfId="0" applyFont="1" applyBorder="1" applyProtection="1">
      <protection locked="0"/>
    </xf>
    <xf numFmtId="0" fontId="4" fillId="0" borderId="0" xfId="0" applyFont="1" applyProtection="1">
      <protection locked="0"/>
    </xf>
    <xf numFmtId="0" fontId="4" fillId="0" borderId="11" xfId="0" applyFont="1" applyBorder="1" applyProtection="1">
      <protection locked="0"/>
    </xf>
    <xf numFmtId="0" fontId="16" fillId="0" borderId="1" xfId="0" applyFont="1" applyBorder="1" applyProtection="1">
      <protection locked="0"/>
    </xf>
    <xf numFmtId="0" fontId="4" fillId="0" borderId="12" xfId="0" applyFont="1" applyBorder="1" applyProtection="1">
      <protection locked="0"/>
    </xf>
    <xf numFmtId="0" fontId="4" fillId="0" borderId="16" xfId="0" applyFont="1" applyBorder="1" applyProtection="1">
      <protection locked="0"/>
    </xf>
    <xf numFmtId="0" fontId="4" fillId="0" borderId="1" xfId="0" applyFont="1" applyBorder="1" applyProtection="1">
      <protection locked="0"/>
    </xf>
    <xf numFmtId="0" fontId="4" fillId="0" borderId="15" xfId="0" applyFont="1" applyBorder="1" applyProtection="1">
      <protection locked="0"/>
    </xf>
    <xf numFmtId="0" fontId="3" fillId="0" borderId="0" xfId="0" applyFont="1" applyProtection="1">
      <protection locked="0"/>
    </xf>
    <xf numFmtId="0" fontId="23" fillId="0" borderId="0" xfId="0" applyFont="1" applyAlignment="1">
      <alignment horizontal="center"/>
    </xf>
    <xf numFmtId="0" fontId="13" fillId="0" borderId="19" xfId="0" applyFont="1" applyBorder="1" applyAlignment="1">
      <alignment wrapText="1"/>
    </xf>
    <xf numFmtId="0" fontId="11" fillId="2" borderId="19" xfId="0" applyFont="1" applyFill="1" applyBorder="1" applyAlignment="1">
      <alignment horizontal="center" vertical="center" wrapText="1"/>
    </xf>
    <xf numFmtId="0" fontId="11" fillId="0" borderId="0" xfId="0" applyFont="1" applyAlignment="1">
      <alignment horizontal="center" vertical="center"/>
    </xf>
    <xf numFmtId="44" fontId="11" fillId="0" borderId="0" xfId="0" applyNumberFormat="1" applyFont="1" applyAlignment="1">
      <alignment horizontal="center" vertical="center"/>
    </xf>
    <xf numFmtId="44" fontId="11" fillId="0" borderId="0" xfId="0" applyNumberFormat="1" applyFont="1" applyAlignment="1">
      <alignment horizontal="center" vertical="center" wrapText="1"/>
    </xf>
    <xf numFmtId="0" fontId="17" fillId="0" borderId="13" xfId="0" applyFont="1" applyBorder="1" applyAlignment="1">
      <alignment horizontal="left" vertical="center" wrapText="1"/>
    </xf>
    <xf numFmtId="43" fontId="13" fillId="0" borderId="19" xfId="0" applyNumberFormat="1" applyFont="1" applyBorder="1" applyAlignment="1">
      <alignment horizontal="center" vertical="center"/>
    </xf>
    <xf numFmtId="0" fontId="13" fillId="0" borderId="19" xfId="0" applyFont="1" applyBorder="1" applyAlignment="1">
      <alignment horizontal="center" vertical="center"/>
    </xf>
    <xf numFmtId="0" fontId="13" fillId="0" borderId="17" xfId="0" applyFont="1" applyBorder="1" applyAlignment="1">
      <alignment horizontal="center" vertical="center"/>
    </xf>
    <xf numFmtId="0" fontId="13" fillId="0" borderId="0" xfId="0" applyFont="1"/>
    <xf numFmtId="0" fontId="17" fillId="0" borderId="18" xfId="0" applyFont="1" applyBorder="1" applyAlignment="1">
      <alignment wrapText="1"/>
    </xf>
    <xf numFmtId="0" fontId="17" fillId="0" borderId="19" xfId="0" applyFont="1" applyBorder="1" applyAlignment="1">
      <alignment wrapText="1"/>
    </xf>
    <xf numFmtId="0" fontId="17" fillId="2" borderId="2" xfId="0" applyFont="1" applyFill="1" applyBorder="1" applyAlignment="1">
      <alignment wrapText="1"/>
    </xf>
    <xf numFmtId="0" fontId="13" fillId="0" borderId="0" xfId="0" applyFont="1" applyAlignment="1">
      <alignment wrapText="1"/>
    </xf>
    <xf numFmtId="0" fontId="13" fillId="2" borderId="2" xfId="0" applyFont="1" applyFill="1" applyBorder="1" applyAlignment="1">
      <alignment wrapText="1"/>
    </xf>
    <xf numFmtId="0" fontId="11" fillId="2" borderId="18" xfId="0" applyFont="1" applyFill="1" applyBorder="1" applyAlignment="1">
      <alignment horizontal="right"/>
    </xf>
    <xf numFmtId="43" fontId="17" fillId="0" borderId="19" xfId="0" applyNumberFormat="1" applyFont="1" applyBorder="1" applyAlignment="1">
      <alignment vertical="center"/>
    </xf>
    <xf numFmtId="0" fontId="11" fillId="2" borderId="19" xfId="0" applyFont="1" applyFill="1" applyBorder="1" applyAlignment="1">
      <alignment vertical="center" wrapText="1"/>
    </xf>
    <xf numFmtId="43" fontId="13" fillId="0" borderId="19" xfId="0" applyNumberFormat="1" applyFont="1" applyBorder="1" applyAlignment="1">
      <alignment vertical="center"/>
    </xf>
    <xf numFmtId="1" fontId="13" fillId="0" borderId="19" xfId="0" applyNumberFormat="1" applyFont="1" applyBorder="1" applyAlignment="1">
      <alignment horizontal="center" vertical="center"/>
    </xf>
    <xf numFmtId="43" fontId="13" fillId="0" borderId="19" xfId="0" applyNumberFormat="1" applyFont="1" applyBorder="1" applyAlignment="1">
      <alignment horizontal="right" vertical="center"/>
    </xf>
    <xf numFmtId="9" fontId="13" fillId="0" borderId="19" xfId="1" applyFont="1" applyBorder="1" applyAlignment="1">
      <alignment horizontal="center" vertical="center"/>
    </xf>
    <xf numFmtId="0" fontId="13" fillId="0" borderId="0" xfId="0" applyFont="1" applyAlignment="1">
      <alignment vertical="center"/>
    </xf>
    <xf numFmtId="0" fontId="13" fillId="0" borderId="0" xfId="0" applyFont="1" applyAlignment="1">
      <alignment vertical="center" wrapText="1"/>
    </xf>
    <xf numFmtId="0" fontId="17" fillId="0" borderId="19" xfId="0" applyFont="1" applyBorder="1" applyAlignment="1">
      <alignment vertical="center" wrapText="1"/>
    </xf>
    <xf numFmtId="168" fontId="13" fillId="2" borderId="2" xfId="0" applyNumberFormat="1" applyFont="1" applyFill="1" applyBorder="1" applyAlignment="1">
      <alignment horizontal="center"/>
    </xf>
    <xf numFmtId="0" fontId="17" fillId="0" borderId="19" xfId="0" applyFont="1" applyBorder="1" applyAlignment="1">
      <alignment horizontal="left" vertical="center" wrapText="1"/>
    </xf>
    <xf numFmtId="0" fontId="11" fillId="2" borderId="16" xfId="0" applyFont="1" applyFill="1" applyBorder="1" applyAlignment="1">
      <alignment horizontal="center"/>
    </xf>
    <xf numFmtId="0" fontId="11" fillId="2" borderId="5" xfId="0" applyFont="1" applyFill="1" applyBorder="1" applyAlignment="1">
      <alignment wrapText="1"/>
    </xf>
    <xf numFmtId="0" fontId="13" fillId="2" borderId="16" xfId="0" applyFont="1" applyFill="1" applyBorder="1" applyAlignment="1">
      <alignment wrapText="1"/>
    </xf>
    <xf numFmtId="0" fontId="13" fillId="0" borderId="19" xfId="0" applyFont="1" applyBorder="1" applyAlignment="1">
      <alignment vertical="center" wrapText="1"/>
    </xf>
    <xf numFmtId="0" fontId="5" fillId="0" borderId="0" xfId="0" applyFont="1" applyAlignment="1">
      <alignment vertical="center"/>
    </xf>
    <xf numFmtId="0" fontId="11" fillId="2" borderId="55" xfId="0" applyFont="1" applyFill="1" applyBorder="1" applyAlignment="1" applyProtection="1">
      <alignment horizontal="center"/>
      <protection locked="0"/>
    </xf>
    <xf numFmtId="0" fontId="11" fillId="0" borderId="13" xfId="0" applyFont="1" applyBorder="1" applyAlignment="1">
      <alignment horizontal="center" wrapText="1"/>
    </xf>
    <xf numFmtId="0" fontId="13" fillId="0" borderId="13" xfId="0" applyFont="1" applyBorder="1" applyAlignment="1">
      <alignment horizontal="center"/>
    </xf>
    <xf numFmtId="0" fontId="11" fillId="2" borderId="17" xfId="0" applyFont="1" applyFill="1" applyBorder="1"/>
    <xf numFmtId="166" fontId="11" fillId="0" borderId="17" xfId="0" applyNumberFormat="1" applyFont="1" applyBorder="1"/>
    <xf numFmtId="0" fontId="12" fillId="2" borderId="13" xfId="0" applyFont="1" applyFill="1" applyBorder="1" applyAlignment="1">
      <alignment horizontal="center"/>
    </xf>
    <xf numFmtId="0" fontId="11" fillId="2" borderId="19" xfId="0" applyFont="1" applyFill="1" applyBorder="1" applyAlignment="1">
      <alignment horizontal="left" vertical="center" wrapText="1"/>
    </xf>
    <xf numFmtId="0" fontId="4" fillId="0" borderId="0" xfId="0" quotePrefix="1" applyFont="1" applyAlignment="1">
      <alignment vertical="center" wrapText="1"/>
    </xf>
    <xf numFmtId="0" fontId="4" fillId="0" borderId="0" xfId="0" applyFont="1" applyAlignment="1">
      <alignment vertical="center" wrapText="1"/>
    </xf>
    <xf numFmtId="0" fontId="4" fillId="0" borderId="0" xfId="0" applyFont="1" applyAlignment="1">
      <alignment horizontal="left" vertical="center"/>
    </xf>
    <xf numFmtId="0" fontId="4" fillId="0" borderId="0" xfId="0" applyFont="1" applyAlignment="1">
      <alignment vertical="center"/>
    </xf>
    <xf numFmtId="0" fontId="17" fillId="0" borderId="18" xfId="0" applyFont="1" applyBorder="1" applyAlignment="1">
      <alignment vertical="center" wrapText="1"/>
    </xf>
    <xf numFmtId="0" fontId="5" fillId="0" borderId="0" xfId="0" applyFont="1"/>
    <xf numFmtId="0" fontId="20" fillId="0" borderId="0" xfId="0" applyFont="1" applyAlignment="1">
      <alignment horizontal="left"/>
    </xf>
    <xf numFmtId="0" fontId="5" fillId="0" borderId="0" xfId="0" applyFont="1" applyAlignment="1">
      <alignment horizontal="center"/>
    </xf>
    <xf numFmtId="44" fontId="5" fillId="0" borderId="0" xfId="0" applyNumberFormat="1" applyFont="1"/>
    <xf numFmtId="44" fontId="5" fillId="0" borderId="0" xfId="0" applyNumberFormat="1" applyFont="1" applyAlignment="1">
      <alignment wrapText="1"/>
    </xf>
    <xf numFmtId="44" fontId="24" fillId="6" borderId="35" xfId="0" applyNumberFormat="1" applyFont="1" applyFill="1" applyBorder="1" applyAlignment="1">
      <alignment horizontal="center" wrapText="1"/>
    </xf>
    <xf numFmtId="44" fontId="24" fillId="6" borderId="36" xfId="0" applyNumberFormat="1" applyFont="1" applyFill="1" applyBorder="1" applyAlignment="1">
      <alignment horizontal="center"/>
    </xf>
    <xf numFmtId="0" fontId="21" fillId="6" borderId="37" xfId="0" applyFont="1" applyFill="1" applyBorder="1" applyAlignment="1">
      <alignment horizontal="center" vertical="center"/>
    </xf>
    <xf numFmtId="0" fontId="25" fillId="0" borderId="36" xfId="0" applyFont="1" applyBorder="1" applyAlignment="1">
      <alignment horizontal="left" vertical="center"/>
    </xf>
    <xf numFmtId="0" fontId="25" fillId="0" borderId="36" xfId="0" applyFont="1" applyBorder="1" applyAlignment="1">
      <alignment horizontal="center" vertical="center"/>
    </xf>
    <xf numFmtId="44" fontId="24" fillId="6" borderId="35" xfId="0" applyNumberFormat="1" applyFont="1" applyFill="1" applyBorder="1" applyAlignment="1">
      <alignment horizontal="center"/>
    </xf>
    <xf numFmtId="44" fontId="10" fillId="7" borderId="43" xfId="0" applyNumberFormat="1" applyFont="1" applyFill="1" applyBorder="1" applyAlignment="1">
      <alignment horizontal="center" vertical="center" wrapText="1"/>
    </xf>
    <xf numFmtId="44" fontId="10" fillId="7" borderId="44" xfId="0" applyNumberFormat="1" applyFont="1" applyFill="1" applyBorder="1" applyAlignment="1">
      <alignment horizontal="center" vertical="center" wrapText="1"/>
    </xf>
    <xf numFmtId="44" fontId="27" fillId="0" borderId="0" xfId="0" applyNumberFormat="1" applyFont="1" applyAlignment="1">
      <alignment wrapText="1"/>
    </xf>
    <xf numFmtId="0" fontId="5" fillId="0" borderId="45" xfId="0" applyFont="1" applyBorder="1" applyAlignment="1">
      <alignment horizontal="left"/>
    </xf>
    <xf numFmtId="0" fontId="5" fillId="0" borderId="1" xfId="0" applyFont="1" applyBorder="1" applyAlignment="1">
      <alignment horizontal="left"/>
    </xf>
    <xf numFmtId="0" fontId="5" fillId="0" borderId="1" xfId="0" applyFont="1" applyBorder="1" applyAlignment="1">
      <alignment horizontal="center"/>
    </xf>
    <xf numFmtId="44" fontId="5" fillId="0" borderId="1" xfId="0" applyNumberFormat="1" applyFont="1" applyBorder="1"/>
    <xf numFmtId="44" fontId="5" fillId="0" borderId="46" xfId="0" applyNumberFormat="1" applyFont="1" applyBorder="1"/>
    <xf numFmtId="0" fontId="5" fillId="0" borderId="48" xfId="0" applyFont="1" applyBorder="1" applyAlignment="1">
      <alignment horizontal="center"/>
    </xf>
    <xf numFmtId="0" fontId="5" fillId="0" borderId="2" xfId="0" applyFont="1" applyBorder="1" applyAlignment="1">
      <alignment horizontal="left"/>
    </xf>
    <xf numFmtId="0" fontId="5" fillId="0" borderId="2" xfId="0" applyFont="1" applyBorder="1" applyAlignment="1">
      <alignment horizontal="center"/>
    </xf>
    <xf numFmtId="44" fontId="5" fillId="0" borderId="2" xfId="0" applyNumberFormat="1" applyFont="1" applyBorder="1"/>
    <xf numFmtId="44" fontId="5" fillId="0" borderId="18" xfId="0" applyNumberFormat="1" applyFont="1" applyBorder="1"/>
    <xf numFmtId="0" fontId="5" fillId="0" borderId="48" xfId="0" applyFont="1" applyBorder="1" applyAlignment="1">
      <alignment horizontal="left"/>
    </xf>
    <xf numFmtId="0" fontId="5" fillId="0" borderId="50" xfId="0" applyFont="1" applyBorder="1" applyAlignment="1">
      <alignment horizontal="left"/>
    </xf>
    <xf numFmtId="0" fontId="5" fillId="0" borderId="51" xfId="0" applyFont="1" applyBorder="1" applyAlignment="1">
      <alignment horizontal="left"/>
    </xf>
    <xf numFmtId="0" fontId="5" fillId="0" borderId="51" xfId="0" applyFont="1" applyBorder="1" applyAlignment="1">
      <alignment horizontal="center"/>
    </xf>
    <xf numFmtId="44" fontId="5" fillId="0" borderId="51" xfId="0" applyNumberFormat="1" applyFont="1" applyBorder="1"/>
    <xf numFmtId="44" fontId="5" fillId="0" borderId="52" xfId="0" applyNumberFormat="1" applyFont="1" applyBorder="1"/>
    <xf numFmtId="0" fontId="11" fillId="8" borderId="17" xfId="0" applyFont="1" applyFill="1" applyBorder="1" applyAlignment="1" applyProtection="1">
      <alignment horizontal="left" wrapText="1"/>
      <protection locked="0"/>
    </xf>
    <xf numFmtId="0" fontId="11" fillId="8" borderId="2" xfId="0" applyFont="1" applyFill="1" applyBorder="1" applyAlignment="1" applyProtection="1">
      <alignment horizontal="left" wrapText="1"/>
      <protection locked="0"/>
    </xf>
    <xf numFmtId="0" fontId="11" fillId="8" borderId="18" xfId="0" applyFont="1" applyFill="1" applyBorder="1" applyAlignment="1" applyProtection="1">
      <alignment horizontal="left" wrapText="1"/>
      <protection locked="0"/>
    </xf>
    <xf numFmtId="0" fontId="11" fillId="8" borderId="17" xfId="0" applyFont="1" applyFill="1" applyBorder="1" applyProtection="1">
      <protection locked="0"/>
    </xf>
    <xf numFmtId="0" fontId="13" fillId="8" borderId="1" xfId="0" applyFont="1" applyFill="1" applyBorder="1" applyProtection="1">
      <protection locked="0"/>
    </xf>
    <xf numFmtId="0" fontId="13" fillId="8" borderId="2" xfId="0" applyFont="1" applyFill="1" applyBorder="1" applyProtection="1">
      <protection locked="0"/>
    </xf>
    <xf numFmtId="0" fontId="13" fillId="8" borderId="18" xfId="0" applyFont="1" applyFill="1" applyBorder="1" applyProtection="1">
      <protection locked="0"/>
    </xf>
    <xf numFmtId="0" fontId="11" fillId="8" borderId="17" xfId="0" applyFont="1" applyFill="1" applyBorder="1" applyAlignment="1" applyProtection="1">
      <alignment horizontal="left"/>
      <protection locked="0"/>
    </xf>
    <xf numFmtId="0" fontId="11" fillId="2" borderId="15" xfId="0" applyFont="1" applyFill="1" applyBorder="1" applyAlignment="1">
      <alignment horizontal="center"/>
    </xf>
    <xf numFmtId="0" fontId="11" fillId="2" borderId="16" xfId="0" applyFont="1" applyFill="1" applyBorder="1" applyAlignment="1">
      <alignment wrapText="1"/>
    </xf>
    <xf numFmtId="0" fontId="17" fillId="0" borderId="17" xfId="0" applyFont="1" applyBorder="1" applyAlignment="1">
      <alignment vertical="center" wrapText="1"/>
    </xf>
    <xf numFmtId="0" fontId="11" fillId="2" borderId="17" xfId="0" applyFont="1" applyFill="1" applyBorder="1" applyAlignment="1">
      <alignment wrapText="1"/>
    </xf>
    <xf numFmtId="0" fontId="21" fillId="2" borderId="5" xfId="0" applyFont="1" applyFill="1" applyBorder="1" applyAlignment="1">
      <alignment horizontal="justify" wrapText="1"/>
    </xf>
    <xf numFmtId="0" fontId="13" fillId="0" borderId="17" xfId="0" applyFont="1" applyBorder="1" applyAlignment="1">
      <alignment vertical="center" wrapText="1"/>
    </xf>
    <xf numFmtId="0" fontId="11" fillId="2" borderId="3" xfId="0" applyFont="1" applyFill="1" applyBorder="1" applyAlignment="1">
      <alignment horizontal="center" wrapText="1"/>
    </xf>
    <xf numFmtId="0" fontId="4" fillId="0" borderId="0" xfId="0" applyFont="1" applyAlignment="1" applyProtection="1">
      <alignment wrapText="1"/>
      <protection locked="0"/>
    </xf>
    <xf numFmtId="0" fontId="5" fillId="0" borderId="0" xfId="0" applyFont="1" applyAlignment="1">
      <alignment horizontal="left" wrapText="1"/>
    </xf>
    <xf numFmtId="0" fontId="5" fillId="0" borderId="0" xfId="0" applyFont="1" applyAlignment="1">
      <alignment horizontal="left"/>
    </xf>
    <xf numFmtId="0" fontId="5" fillId="0" borderId="0" xfId="0" applyFont="1" applyAlignment="1">
      <alignment wrapText="1"/>
    </xf>
    <xf numFmtId="0" fontId="5" fillId="0" borderId="0" xfId="0" applyFont="1" applyAlignment="1">
      <alignment vertical="center" wrapText="1"/>
    </xf>
    <xf numFmtId="0" fontId="4" fillId="0" borderId="0" xfId="0" applyFont="1" applyAlignment="1">
      <alignment wrapText="1"/>
    </xf>
    <xf numFmtId="0" fontId="4" fillId="0" borderId="0" xfId="0" applyFont="1" applyAlignment="1">
      <alignment horizontal="left" wrapText="1"/>
    </xf>
    <xf numFmtId="0" fontId="11" fillId="2" borderId="5" xfId="0" applyFont="1" applyFill="1" applyBorder="1" applyAlignment="1">
      <alignment horizontal="center" wrapText="1"/>
    </xf>
    <xf numFmtId="0" fontId="11" fillId="2" borderId="7" xfId="0" applyFont="1" applyFill="1" applyBorder="1" applyAlignment="1">
      <alignment horizontal="center" wrapText="1"/>
    </xf>
    <xf numFmtId="0" fontId="11" fillId="2" borderId="5" xfId="0" applyFont="1" applyFill="1" applyBorder="1"/>
    <xf numFmtId="0" fontId="13" fillId="2" borderId="16" xfId="0" applyFont="1" applyFill="1" applyBorder="1"/>
    <xf numFmtId="168" fontId="13" fillId="0" borderId="18" xfId="0" applyNumberFormat="1" applyFont="1" applyBorder="1" applyAlignment="1">
      <alignment horizontal="center" vertical="center"/>
    </xf>
    <xf numFmtId="0" fontId="13" fillId="0" borderId="13" xfId="0" applyFont="1" applyBorder="1" applyAlignment="1">
      <alignment vertical="center" wrapText="1"/>
    </xf>
    <xf numFmtId="0" fontId="11" fillId="2" borderId="2" xfId="0" applyFont="1" applyFill="1" applyBorder="1"/>
    <xf numFmtId="0" fontId="17" fillId="0" borderId="18" xfId="0" applyFont="1" applyBorder="1" applyAlignment="1">
      <alignment horizontal="left" vertical="center" wrapText="1"/>
    </xf>
    <xf numFmtId="43" fontId="17" fillId="3" borderId="13" xfId="0" applyNumberFormat="1" applyFont="1" applyFill="1" applyBorder="1" applyAlignment="1">
      <alignment horizontal="right" vertical="center"/>
    </xf>
    <xf numFmtId="0" fontId="17" fillId="0" borderId="13" xfId="0" applyFont="1" applyBorder="1" applyAlignment="1">
      <alignment horizontal="left" vertical="center"/>
    </xf>
    <xf numFmtId="4" fontId="5" fillId="0" borderId="0" xfId="0" applyNumberFormat="1" applyFont="1" applyAlignment="1">
      <alignment vertical="center"/>
    </xf>
    <xf numFmtId="4" fontId="17" fillId="0" borderId="19" xfId="0" applyNumberFormat="1" applyFont="1" applyBorder="1" applyAlignment="1">
      <alignment horizontal="right" vertical="center" wrapText="1"/>
    </xf>
    <xf numFmtId="4" fontId="17" fillId="0" borderId="13" xfId="0" applyNumberFormat="1" applyFont="1" applyBorder="1" applyAlignment="1">
      <alignment horizontal="right" vertical="center"/>
    </xf>
    <xf numFmtId="4" fontId="17" fillId="8" borderId="13" xfId="0" applyNumberFormat="1" applyFont="1" applyFill="1" applyBorder="1" applyAlignment="1">
      <alignment horizontal="right" vertical="center"/>
    </xf>
    <xf numFmtId="4" fontId="17" fillId="0" borderId="19" xfId="0" applyNumberFormat="1" applyFont="1" applyBorder="1" applyAlignment="1">
      <alignment horizontal="right" vertical="center"/>
    </xf>
    <xf numFmtId="4" fontId="12" fillId="2" borderId="19" xfId="0" applyNumberFormat="1" applyFont="1" applyFill="1" applyBorder="1" applyAlignment="1">
      <alignment horizontal="right" vertical="center"/>
    </xf>
    <xf numFmtId="0" fontId="11" fillId="0" borderId="19" xfId="0" applyFont="1" applyBorder="1" applyAlignment="1">
      <alignment horizontal="right" vertical="center" wrapText="1"/>
    </xf>
    <xf numFmtId="4" fontId="12" fillId="2" borderId="7" xfId="0" applyNumberFormat="1" applyFont="1" applyFill="1" applyBorder="1"/>
    <xf numFmtId="0" fontId="17" fillId="8" borderId="19" xfId="0" applyFont="1" applyFill="1" applyBorder="1" applyAlignment="1">
      <alignment horizontal="left" vertical="center" wrapText="1"/>
    </xf>
    <xf numFmtId="169" fontId="13" fillId="0" borderId="19" xfId="0" applyNumberFormat="1" applyFont="1" applyBorder="1" applyAlignment="1">
      <alignment horizontal="right" vertical="center"/>
    </xf>
    <xf numFmtId="169" fontId="25" fillId="0" borderId="36" xfId="0" applyNumberFormat="1" applyFont="1" applyBorder="1" applyAlignment="1">
      <alignment horizontal="right" vertical="center"/>
    </xf>
    <xf numFmtId="44" fontId="25" fillId="0" borderId="36" xfId="0" applyNumberFormat="1" applyFont="1" applyBorder="1" applyAlignment="1">
      <alignment horizontal="right" vertical="center"/>
    </xf>
    <xf numFmtId="0" fontId="13" fillId="0" borderId="19" xfId="0" applyFont="1" applyBorder="1" applyAlignment="1">
      <alignment horizontal="left" vertical="center"/>
    </xf>
    <xf numFmtId="0" fontId="13" fillId="0" borderId="19" xfId="0" applyFont="1" applyBorder="1" applyAlignment="1">
      <alignment horizontal="left" vertical="center" wrapText="1"/>
    </xf>
    <xf numFmtId="2" fontId="13" fillId="0" borderId="19" xfId="0" applyNumberFormat="1" applyFont="1" applyBorder="1" applyAlignment="1">
      <alignment horizontal="left" vertical="center"/>
    </xf>
    <xf numFmtId="2" fontId="13" fillId="0" borderId="19" xfId="0" applyNumberFormat="1" applyFont="1" applyBorder="1" applyAlignment="1">
      <alignment horizontal="left" vertical="center" wrapText="1"/>
    </xf>
    <xf numFmtId="43" fontId="13" fillId="0" borderId="19" xfId="0" applyNumberFormat="1" applyFont="1" applyBorder="1" applyAlignment="1">
      <alignment horizontal="left" vertical="center"/>
    </xf>
    <xf numFmtId="165" fontId="13" fillId="0" borderId="19" xfId="0" applyNumberFormat="1" applyFont="1" applyBorder="1" applyAlignment="1">
      <alignment horizontal="left" vertical="center"/>
    </xf>
    <xf numFmtId="43" fontId="13" fillId="0" borderId="19" xfId="0" applyNumberFormat="1" applyFont="1" applyBorder="1" applyAlignment="1">
      <alignment horizontal="left" vertical="center" wrapText="1"/>
    </xf>
    <xf numFmtId="4" fontId="13" fillId="0" borderId="19" xfId="0" applyNumberFormat="1" applyFont="1" applyBorder="1" applyAlignment="1">
      <alignment horizontal="right" vertical="center"/>
    </xf>
    <xf numFmtId="167" fontId="10" fillId="2" borderId="28" xfId="1" applyNumberFormat="1" applyFont="1" applyFill="1" applyBorder="1" applyAlignment="1" applyProtection="1">
      <alignment horizontal="right" vertical="center" wrapText="1"/>
    </xf>
    <xf numFmtId="4" fontId="13" fillId="0" borderId="19" xfId="0" applyNumberFormat="1" applyFont="1" applyBorder="1" applyAlignment="1" applyProtection="1">
      <alignment horizontal="right" vertical="center"/>
      <protection locked="0"/>
    </xf>
    <xf numFmtId="4" fontId="13" fillId="0" borderId="17" xfId="0" applyNumberFormat="1" applyFont="1" applyBorder="1" applyAlignment="1" applyProtection="1">
      <alignment horizontal="right" vertical="center"/>
      <protection locked="0"/>
    </xf>
    <xf numFmtId="4" fontId="13" fillId="0" borderId="18" xfId="0" applyNumberFormat="1" applyFont="1" applyBorder="1" applyAlignment="1">
      <alignment horizontal="right" vertical="center"/>
    </xf>
    <xf numFmtId="4" fontId="13" fillId="0" borderId="17" xfId="0" applyNumberFormat="1" applyFont="1" applyBorder="1" applyAlignment="1">
      <alignment horizontal="right" vertical="center"/>
    </xf>
    <xf numFmtId="4" fontId="11" fillId="2" borderId="20" xfId="0" applyNumberFormat="1" applyFont="1" applyFill="1" applyBorder="1" applyAlignment="1">
      <alignment horizontal="right" vertical="center"/>
    </xf>
    <xf numFmtId="4" fontId="11" fillId="2" borderId="19" xfId="0" applyNumberFormat="1" applyFont="1" applyFill="1" applyBorder="1" applyAlignment="1">
      <alignment horizontal="right" vertical="center"/>
    </xf>
    <xf numFmtId="4" fontId="11" fillId="2" borderId="17" xfId="0" applyNumberFormat="1" applyFont="1" applyFill="1" applyBorder="1" applyAlignment="1">
      <alignment horizontal="right" vertical="center"/>
    </xf>
    <xf numFmtId="4" fontId="11" fillId="2" borderId="18" xfId="0" applyNumberFormat="1" applyFont="1" applyFill="1" applyBorder="1" applyAlignment="1">
      <alignment horizontal="right" vertical="center"/>
    </xf>
    <xf numFmtId="4" fontId="13" fillId="8" borderId="2" xfId="0" applyNumberFormat="1" applyFont="1" applyFill="1" applyBorder="1" applyAlignment="1" applyProtection="1">
      <alignment horizontal="right" vertical="center"/>
      <protection locked="0"/>
    </xf>
    <xf numFmtId="4" fontId="13" fillId="8" borderId="2" xfId="0" applyNumberFormat="1" applyFont="1" applyFill="1" applyBorder="1" applyAlignment="1">
      <alignment horizontal="right" vertical="center"/>
    </xf>
    <xf numFmtId="4" fontId="13" fillId="0" borderId="4" xfId="0" applyNumberFormat="1" applyFont="1" applyBorder="1" applyAlignment="1" applyProtection="1">
      <alignment horizontal="right" vertical="center"/>
      <protection locked="0"/>
    </xf>
    <xf numFmtId="4" fontId="13" fillId="0" borderId="4" xfId="0" applyNumberFormat="1" applyFont="1" applyBorder="1" applyAlignment="1">
      <alignment horizontal="right" vertical="center"/>
    </xf>
    <xf numFmtId="4" fontId="13" fillId="0" borderId="20" xfId="0" applyNumberFormat="1" applyFont="1" applyBorder="1" applyAlignment="1" applyProtection="1">
      <alignment horizontal="right" vertical="center"/>
      <protection locked="0"/>
    </xf>
    <xf numFmtId="4" fontId="13" fillId="0" borderId="18" xfId="0" applyNumberFormat="1" applyFont="1" applyBorder="1" applyAlignment="1" applyProtection="1">
      <alignment horizontal="right" vertical="center"/>
      <protection locked="0"/>
    </xf>
    <xf numFmtId="4" fontId="13" fillId="0" borderId="20" xfId="0" applyNumberFormat="1" applyFont="1" applyBorder="1" applyAlignment="1">
      <alignment horizontal="right" vertical="center"/>
    </xf>
    <xf numFmtId="4" fontId="11" fillId="2" borderId="4" xfId="0" applyNumberFormat="1" applyFont="1" applyFill="1" applyBorder="1" applyAlignment="1">
      <alignment horizontal="right" vertical="center"/>
    </xf>
    <xf numFmtId="4" fontId="11" fillId="2" borderId="3" xfId="0" applyNumberFormat="1" applyFont="1" applyFill="1" applyBorder="1" applyAlignment="1">
      <alignment horizontal="right" vertical="center"/>
    </xf>
    <xf numFmtId="4" fontId="11" fillId="2" borderId="5" xfId="0" applyNumberFormat="1" applyFont="1" applyFill="1" applyBorder="1" applyAlignment="1">
      <alignment horizontal="right" vertical="center"/>
    </xf>
    <xf numFmtId="4" fontId="11" fillId="2" borderId="7" xfId="0" applyNumberFormat="1" applyFont="1" applyFill="1" applyBorder="1" applyAlignment="1">
      <alignment horizontal="right" vertical="center"/>
    </xf>
    <xf numFmtId="4" fontId="11" fillId="8" borderId="2" xfId="0" applyNumberFormat="1" applyFont="1" applyFill="1" applyBorder="1" applyAlignment="1" applyProtection="1">
      <alignment horizontal="right" vertical="center"/>
      <protection locked="0"/>
    </xf>
    <xf numFmtId="4" fontId="11" fillId="8" borderId="2" xfId="0" applyNumberFormat="1" applyFont="1" applyFill="1" applyBorder="1" applyAlignment="1">
      <alignment horizontal="right" vertical="center"/>
    </xf>
    <xf numFmtId="4" fontId="11" fillId="0" borderId="14" xfId="0" applyNumberFormat="1" applyFont="1" applyBorder="1" applyAlignment="1" applyProtection="1">
      <alignment horizontal="right" vertical="center"/>
      <protection locked="0"/>
    </xf>
    <xf numFmtId="4" fontId="11" fillId="4" borderId="15" xfId="0" applyNumberFormat="1" applyFont="1" applyFill="1" applyBorder="1" applyAlignment="1" applyProtection="1">
      <alignment horizontal="right" vertical="center"/>
      <protection locked="0"/>
    </xf>
    <xf numFmtId="4" fontId="11" fillId="0" borderId="16" xfId="0" applyNumberFormat="1" applyFont="1" applyBorder="1" applyAlignment="1" applyProtection="1">
      <alignment horizontal="right" vertical="center"/>
      <protection locked="0"/>
    </xf>
    <xf numFmtId="4" fontId="11" fillId="0" borderId="14" xfId="0" applyNumberFormat="1" applyFont="1" applyBorder="1" applyAlignment="1">
      <alignment horizontal="right" vertical="center"/>
    </xf>
    <xf numFmtId="4" fontId="11" fillId="4" borderId="7" xfId="0" applyNumberFormat="1" applyFont="1" applyFill="1" applyBorder="1" applyAlignment="1">
      <alignment horizontal="right" vertical="center"/>
    </xf>
    <xf numFmtId="4" fontId="11" fillId="0" borderId="16" xfId="0" applyNumberFormat="1" applyFont="1" applyBorder="1" applyAlignment="1">
      <alignment horizontal="right" vertical="center"/>
    </xf>
    <xf numFmtId="4" fontId="11" fillId="2" borderId="23" xfId="0" applyNumberFormat="1" applyFont="1" applyFill="1" applyBorder="1" applyAlignment="1">
      <alignment horizontal="right" vertical="center"/>
    </xf>
    <xf numFmtId="4" fontId="11" fillId="5" borderId="25" xfId="0" applyNumberFormat="1" applyFont="1" applyFill="1" applyBorder="1" applyAlignment="1">
      <alignment horizontal="right" vertical="center"/>
    </xf>
    <xf numFmtId="4" fontId="11" fillId="2" borderId="24" xfId="0" applyNumberFormat="1" applyFont="1" applyFill="1" applyBorder="1" applyAlignment="1">
      <alignment horizontal="right" vertical="center"/>
    </xf>
    <xf numFmtId="4" fontId="11" fillId="2" borderId="14" xfId="0" applyNumberFormat="1" applyFont="1" applyFill="1" applyBorder="1" applyAlignment="1">
      <alignment horizontal="right" vertical="center"/>
    </xf>
    <xf numFmtId="4" fontId="11" fillId="2" borderId="13" xfId="0" applyNumberFormat="1" applyFont="1" applyFill="1" applyBorder="1" applyAlignment="1">
      <alignment horizontal="right" vertical="center"/>
    </xf>
    <xf numFmtId="4" fontId="11" fillId="2" borderId="16" xfId="0" applyNumberFormat="1" applyFont="1" applyFill="1" applyBorder="1" applyAlignment="1">
      <alignment horizontal="right" vertical="center"/>
    </xf>
    <xf numFmtId="4" fontId="11" fillId="2" borderId="21" xfId="0" applyNumberFormat="1" applyFont="1" applyFill="1" applyBorder="1" applyAlignment="1">
      <alignment horizontal="right" vertical="center"/>
    </xf>
    <xf numFmtId="4" fontId="11" fillId="0" borderId="19" xfId="0" applyNumberFormat="1" applyFont="1" applyBorder="1" applyAlignment="1">
      <alignment horizontal="right" vertical="center"/>
    </xf>
    <xf numFmtId="0" fontId="5" fillId="0" borderId="2" xfId="0" applyFont="1" applyBorder="1" applyAlignment="1" applyProtection="1">
      <alignment vertical="center"/>
      <protection locked="0"/>
    </xf>
    <xf numFmtId="0" fontId="5" fillId="0" borderId="1" xfId="0" applyFont="1" applyBorder="1" applyAlignment="1" applyProtection="1">
      <alignment vertical="center"/>
      <protection locked="0"/>
    </xf>
    <xf numFmtId="168" fontId="5" fillId="0" borderId="1" xfId="0" applyNumberFormat="1" applyFont="1" applyBorder="1" applyAlignment="1" applyProtection="1">
      <alignment vertical="center"/>
      <protection locked="0"/>
    </xf>
    <xf numFmtId="0" fontId="5" fillId="0" borderId="0" xfId="0" applyFont="1" applyAlignment="1" applyProtection="1">
      <alignment vertical="center"/>
      <protection locked="0"/>
    </xf>
    <xf numFmtId="0" fontId="7" fillId="0" borderId="2" xfId="0" applyFont="1" applyBorder="1" applyAlignment="1" applyProtection="1">
      <alignment vertical="center"/>
      <protection locked="0"/>
    </xf>
    <xf numFmtId="0" fontId="5" fillId="0" borderId="1" xfId="0" applyFont="1" applyBorder="1" applyAlignment="1" applyProtection="1">
      <alignment horizontal="left" vertical="center"/>
      <protection locked="0"/>
    </xf>
    <xf numFmtId="4" fontId="13" fillId="0" borderId="19" xfId="0" applyNumberFormat="1" applyFont="1" applyBorder="1" applyAlignment="1">
      <alignment vertical="center"/>
    </xf>
    <xf numFmtId="4" fontId="12" fillId="2" borderId="3" xfId="0" applyNumberFormat="1" applyFont="1" applyFill="1" applyBorder="1" applyAlignment="1">
      <alignment horizontal="right" vertical="center"/>
    </xf>
    <xf numFmtId="4" fontId="25" fillId="0" borderId="36" xfId="0" applyNumberFormat="1" applyFont="1" applyBorder="1" applyAlignment="1">
      <alignment horizontal="right" vertical="center"/>
    </xf>
    <xf numFmtId="4" fontId="25" fillId="0" borderId="36" xfId="0" applyNumberFormat="1" applyFont="1" applyBorder="1" applyAlignment="1">
      <alignment horizontal="right" vertical="center" wrapText="1"/>
    </xf>
    <xf numFmtId="4" fontId="26" fillId="0" borderId="36" xfId="0" applyNumberFormat="1" applyFont="1" applyBorder="1" applyAlignment="1">
      <alignment horizontal="right" vertical="center"/>
    </xf>
    <xf numFmtId="4" fontId="25" fillId="0" borderId="36" xfId="0" applyNumberFormat="1" applyFont="1" applyBorder="1" applyAlignment="1">
      <alignment horizontal="center" vertical="center"/>
    </xf>
    <xf numFmtId="4" fontId="5" fillId="0" borderId="13" xfId="0" applyNumberFormat="1" applyFont="1" applyBorder="1" applyAlignment="1">
      <alignment horizontal="right" vertical="center"/>
    </xf>
    <xf numFmtId="4" fontId="5" fillId="0" borderId="47" xfId="0" applyNumberFormat="1" applyFont="1" applyBorder="1" applyAlignment="1">
      <alignment horizontal="right" vertical="center"/>
    </xf>
    <xf numFmtId="4" fontId="5" fillId="0" borderId="19" xfId="0" applyNumberFormat="1" applyFont="1" applyBorder="1" applyAlignment="1">
      <alignment horizontal="right" vertical="center"/>
    </xf>
    <xf numFmtId="4" fontId="5" fillId="0" borderId="49" xfId="0" applyNumberFormat="1" applyFont="1" applyBorder="1" applyAlignment="1">
      <alignment horizontal="right" vertical="center" wrapText="1"/>
    </xf>
    <xf numFmtId="4" fontId="5" fillId="0" borderId="49" xfId="0" applyNumberFormat="1" applyFont="1" applyBorder="1" applyAlignment="1">
      <alignment horizontal="right" vertical="center"/>
    </xf>
    <xf numFmtId="4" fontId="5" fillId="0" borderId="53" xfId="0" applyNumberFormat="1" applyFont="1" applyBorder="1" applyAlignment="1">
      <alignment horizontal="right" vertical="center"/>
    </xf>
    <xf numFmtId="4" fontId="5" fillId="0" borderId="54" xfId="0" applyNumberFormat="1" applyFont="1" applyBorder="1" applyAlignment="1">
      <alignment horizontal="right" vertical="center"/>
    </xf>
    <xf numFmtId="4" fontId="25" fillId="0" borderId="39" xfId="0" applyNumberFormat="1" applyFont="1" applyBorder="1" applyAlignment="1">
      <alignment horizontal="right" vertical="center"/>
    </xf>
    <xf numFmtId="4" fontId="25" fillId="0" borderId="36" xfId="0" applyNumberFormat="1" applyFont="1" applyBorder="1" applyAlignment="1">
      <alignment horizontal="right"/>
    </xf>
    <xf numFmtId="4" fontId="26" fillId="0" borderId="36" xfId="0" applyNumberFormat="1" applyFont="1" applyBorder="1" applyAlignment="1">
      <alignment horizontal="right"/>
    </xf>
    <xf numFmtId="4" fontId="25" fillId="0" borderId="36" xfId="0" applyNumberFormat="1" applyFont="1" applyBorder="1" applyAlignment="1">
      <alignment horizontal="right" wrapText="1"/>
    </xf>
    <xf numFmtId="44" fontId="25" fillId="0" borderId="37" xfId="0" applyNumberFormat="1" applyFont="1" applyBorder="1" applyAlignment="1">
      <alignment horizontal="right"/>
    </xf>
    <xf numFmtId="0" fontId="5" fillId="0" borderId="41" xfId="0" applyFont="1" applyBorder="1"/>
    <xf numFmtId="4" fontId="13" fillId="0" borderId="41" xfId="0" applyNumberFormat="1" applyFont="1" applyBorder="1"/>
    <xf numFmtId="49" fontId="5" fillId="0" borderId="1" xfId="0" quotePrefix="1" applyNumberFormat="1" applyFont="1" applyBorder="1" applyAlignment="1" applyProtection="1">
      <alignment vertical="center"/>
      <protection locked="0"/>
    </xf>
    <xf numFmtId="4" fontId="25" fillId="0" borderId="41" xfId="0" applyNumberFormat="1" applyFont="1" applyBorder="1" applyAlignment="1">
      <alignment horizontal="right" vertical="center" wrapText="1"/>
    </xf>
    <xf numFmtId="170" fontId="5" fillId="0" borderId="0" xfId="0" applyNumberFormat="1" applyFont="1" applyAlignment="1">
      <alignment horizontal="left" vertical="center"/>
    </xf>
    <xf numFmtId="170" fontId="13" fillId="0" borderId="19" xfId="0" applyNumberFormat="1" applyFont="1" applyBorder="1" applyAlignment="1">
      <alignment horizontal="left" vertical="center"/>
    </xf>
    <xf numFmtId="168" fontId="13" fillId="0" borderId="19" xfId="0" applyNumberFormat="1" applyFont="1" applyBorder="1" applyAlignment="1">
      <alignment horizontal="left" vertical="center"/>
    </xf>
    <xf numFmtId="0" fontId="5" fillId="0" borderId="0" xfId="0" applyFont="1" applyAlignment="1">
      <alignment horizontal="right" vertical="center"/>
    </xf>
    <xf numFmtId="4" fontId="12" fillId="2" borderId="19" xfId="0" applyNumberFormat="1" applyFont="1" applyFill="1" applyBorder="1" applyAlignment="1">
      <alignment horizontal="right"/>
    </xf>
    <xf numFmtId="0" fontId="17" fillId="0" borderId="19" xfId="0" applyFont="1" applyBorder="1" applyAlignment="1">
      <alignment horizontal="left" vertical="center"/>
    </xf>
    <xf numFmtId="4" fontId="11" fillId="0" borderId="19" xfId="0" applyNumberFormat="1" applyFont="1" applyBorder="1" applyAlignment="1">
      <alignment horizontal="right" vertical="center" wrapText="1"/>
    </xf>
    <xf numFmtId="1" fontId="13" fillId="0" borderId="19" xfId="1" applyNumberFormat="1" applyFont="1" applyBorder="1" applyAlignment="1">
      <alignment horizontal="center" vertical="center"/>
    </xf>
    <xf numFmtId="1" fontId="17" fillId="0" borderId="19" xfId="1" applyNumberFormat="1" applyFont="1" applyBorder="1" applyAlignment="1">
      <alignment horizontal="center" vertical="center"/>
    </xf>
    <xf numFmtId="1" fontId="13" fillId="0" borderId="19" xfId="0" applyNumberFormat="1" applyFont="1" applyBorder="1" applyAlignment="1">
      <alignment horizontal="left" vertical="center"/>
    </xf>
    <xf numFmtId="1" fontId="17" fillId="0" borderId="13" xfId="0" applyNumberFormat="1" applyFont="1" applyBorder="1" applyAlignment="1">
      <alignment horizontal="center" vertical="center"/>
    </xf>
    <xf numFmtId="1" fontId="17" fillId="0" borderId="13" xfId="1" applyNumberFormat="1" applyFont="1" applyBorder="1" applyAlignment="1">
      <alignment horizontal="center" vertical="center"/>
    </xf>
    <xf numFmtId="168" fontId="17" fillId="0" borderId="13" xfId="0" applyNumberFormat="1" applyFont="1" applyBorder="1" applyAlignment="1">
      <alignment horizontal="left" vertical="center"/>
    </xf>
    <xf numFmtId="43" fontId="11" fillId="2" borderId="19" xfId="0" applyNumberFormat="1" applyFont="1" applyFill="1" applyBorder="1"/>
    <xf numFmtId="43" fontId="11" fillId="2" borderId="19" xfId="0" applyNumberFormat="1" applyFont="1" applyFill="1" applyBorder="1" applyAlignment="1">
      <alignment horizontal="right" vertical="center"/>
    </xf>
    <xf numFmtId="43" fontId="11" fillId="2" borderId="19" xfId="0" applyNumberFormat="1" applyFont="1" applyFill="1" applyBorder="1" applyAlignment="1">
      <alignment horizontal="right"/>
    </xf>
    <xf numFmtId="4" fontId="11" fillId="2" borderId="19" xfId="0" applyNumberFormat="1" applyFont="1" applyFill="1" applyBorder="1" applyAlignment="1">
      <alignment horizontal="right"/>
    </xf>
    <xf numFmtId="44" fontId="5" fillId="0" borderId="19" xfId="0" applyNumberFormat="1" applyFont="1" applyBorder="1"/>
    <xf numFmtId="44" fontId="5" fillId="0" borderId="53" xfId="0" applyNumberFormat="1" applyFont="1" applyBorder="1"/>
    <xf numFmtId="44" fontId="5" fillId="0" borderId="13" xfId="0" applyNumberFormat="1" applyFont="1" applyBorder="1" applyAlignment="1">
      <alignment horizontal="right" vertical="center"/>
    </xf>
    <xf numFmtId="44" fontId="5" fillId="0" borderId="19" xfId="0" applyNumberFormat="1" applyFont="1" applyBorder="1" applyAlignment="1">
      <alignment horizontal="right" vertical="center"/>
    </xf>
    <xf numFmtId="44" fontId="10" fillId="7" borderId="41" xfId="0" applyNumberFormat="1" applyFont="1" applyFill="1" applyBorder="1" applyAlignment="1">
      <alignment horizontal="center" vertical="center" wrapText="1"/>
    </xf>
    <xf numFmtId="0" fontId="17" fillId="0" borderId="17" xfId="0" applyFont="1" applyBorder="1" applyAlignment="1">
      <alignment horizontal="right" vertical="center"/>
    </xf>
    <xf numFmtId="164" fontId="5" fillId="0" borderId="0" xfId="0" applyNumberFormat="1" applyFont="1"/>
    <xf numFmtId="4" fontId="33" fillId="8" borderId="2" xfId="0" applyNumberFormat="1" applyFont="1" applyFill="1" applyBorder="1" applyAlignment="1" applyProtection="1">
      <alignment horizontal="right" vertical="center"/>
      <protection locked="0"/>
    </xf>
    <xf numFmtId="0" fontId="4" fillId="0" borderId="0" xfId="0" applyFont="1" applyAlignment="1" applyProtection="1">
      <alignment wrapText="1"/>
      <protection locked="0"/>
    </xf>
    <xf numFmtId="0" fontId="11" fillId="2" borderId="17" xfId="0" applyFont="1" applyFill="1" applyBorder="1" applyAlignment="1" applyProtection="1">
      <alignment horizontal="left" wrapText="1"/>
      <protection locked="0"/>
    </xf>
    <xf numFmtId="0" fontId="11" fillId="2" borderId="2" xfId="0" applyFont="1" applyFill="1" applyBorder="1" applyAlignment="1" applyProtection="1">
      <alignment horizontal="left" wrapText="1"/>
      <protection locked="0"/>
    </xf>
    <xf numFmtId="0" fontId="11" fillId="2" borderId="18" xfId="0" applyFont="1" applyFill="1" applyBorder="1" applyAlignment="1" applyProtection="1">
      <alignment horizontal="left" wrapText="1"/>
      <protection locked="0"/>
    </xf>
    <xf numFmtId="0" fontId="13" fillId="0" borderId="17" xfId="0" applyFont="1" applyBorder="1" applyAlignment="1" applyProtection="1">
      <alignment horizontal="left" wrapText="1"/>
      <protection locked="0"/>
    </xf>
    <xf numFmtId="0" fontId="13" fillId="0" borderId="2" xfId="0" applyFont="1" applyBorder="1" applyAlignment="1" applyProtection="1">
      <alignment horizontal="left" wrapText="1"/>
      <protection locked="0"/>
    </xf>
    <xf numFmtId="0" fontId="13" fillId="0" borderId="18" xfId="0" applyFont="1" applyBorder="1" applyAlignment="1" applyProtection="1">
      <alignment horizontal="left" wrapText="1"/>
      <protection locked="0"/>
    </xf>
    <xf numFmtId="0" fontId="11" fillId="0" borderId="17" xfId="0" applyFont="1" applyBorder="1" applyAlignment="1" applyProtection="1">
      <alignment horizontal="left" wrapText="1"/>
      <protection locked="0"/>
    </xf>
    <xf numFmtId="0" fontId="11" fillId="0" borderId="2" xfId="0" applyFont="1" applyBorder="1" applyAlignment="1" applyProtection="1">
      <alignment horizontal="left" wrapText="1"/>
      <protection locked="0"/>
    </xf>
    <xf numFmtId="0" fontId="11" fillId="0" borderId="18" xfId="0" applyFont="1" applyBorder="1" applyAlignment="1" applyProtection="1">
      <alignment horizontal="left" wrapText="1"/>
      <protection locked="0"/>
    </xf>
    <xf numFmtId="0" fontId="11" fillId="2" borderId="29" xfId="0" applyFont="1" applyFill="1" applyBorder="1" applyAlignment="1" applyProtection="1">
      <alignment horizontal="left" wrapText="1"/>
      <protection locked="0"/>
    </xf>
    <xf numFmtId="0" fontId="11" fillId="2" borderId="30" xfId="0" applyFont="1" applyFill="1" applyBorder="1" applyAlignment="1" applyProtection="1">
      <alignment horizontal="left" wrapText="1"/>
      <protection locked="0"/>
    </xf>
    <xf numFmtId="0" fontId="11" fillId="2" borderId="31" xfId="0" applyFont="1" applyFill="1" applyBorder="1" applyAlignment="1" applyProtection="1">
      <alignment horizontal="left" wrapText="1"/>
      <protection locked="0"/>
    </xf>
    <xf numFmtId="0" fontId="11" fillId="2" borderId="26" xfId="0" applyFont="1" applyFill="1" applyBorder="1" applyAlignment="1" applyProtection="1">
      <alignment horizontal="left" vertical="center" wrapText="1"/>
      <protection locked="0"/>
    </xf>
    <xf numFmtId="0" fontId="11" fillId="2" borderId="27" xfId="0" applyFont="1" applyFill="1" applyBorder="1" applyAlignment="1" applyProtection="1">
      <alignment horizontal="left" vertical="center" wrapText="1"/>
      <protection locked="0"/>
    </xf>
    <xf numFmtId="0" fontId="11" fillId="2" borderId="28" xfId="0" applyFont="1" applyFill="1" applyBorder="1" applyAlignment="1" applyProtection="1">
      <alignment horizontal="left" vertical="center" wrapText="1"/>
      <protection locked="0"/>
    </xf>
    <xf numFmtId="0" fontId="2" fillId="0" borderId="0" xfId="0" applyFont="1" applyAlignment="1" applyProtection="1">
      <alignment horizontal="center"/>
      <protection locked="0"/>
    </xf>
    <xf numFmtId="0" fontId="11" fillId="2" borderId="22" xfId="0" applyFont="1" applyFill="1" applyBorder="1" applyAlignment="1" applyProtection="1">
      <alignment horizontal="left" wrapText="1"/>
      <protection locked="0"/>
    </xf>
    <xf numFmtId="0" fontId="11" fillId="2" borderId="11" xfId="0" applyFont="1" applyFill="1" applyBorder="1" applyAlignment="1" applyProtection="1">
      <alignment horizontal="center"/>
      <protection locked="0"/>
    </xf>
    <xf numFmtId="0" fontId="11" fillId="2" borderId="0" xfId="0" applyFont="1" applyFill="1" applyAlignment="1" applyProtection="1">
      <alignment horizontal="center"/>
      <protection locked="0"/>
    </xf>
    <xf numFmtId="0" fontId="11" fillId="2" borderId="12" xfId="0" applyFont="1" applyFill="1" applyBorder="1" applyAlignment="1" applyProtection="1">
      <alignment horizontal="center"/>
      <protection locked="0"/>
    </xf>
    <xf numFmtId="0" fontId="5" fillId="0" borderId="1" xfId="0" applyFont="1" applyBorder="1" applyAlignment="1" applyProtection="1">
      <alignment vertical="center"/>
      <protection locked="0"/>
    </xf>
    <xf numFmtId="4" fontId="13" fillId="0" borderId="4" xfId="0" applyNumberFormat="1" applyFont="1" applyBorder="1" applyAlignment="1" applyProtection="1">
      <alignment horizontal="right" vertical="center"/>
      <protection locked="0"/>
    </xf>
    <xf numFmtId="4" fontId="13" fillId="0" borderId="14" xfId="0" applyNumberFormat="1" applyFont="1" applyBorder="1" applyAlignment="1" applyProtection="1">
      <alignment horizontal="right" vertical="center"/>
      <protection locked="0"/>
    </xf>
    <xf numFmtId="4" fontId="13" fillId="0" borderId="4" xfId="0" applyNumberFormat="1" applyFont="1" applyBorder="1" applyAlignment="1">
      <alignment horizontal="right" vertical="center"/>
    </xf>
    <xf numFmtId="4" fontId="13" fillId="0" borderId="14" xfId="0" applyNumberFormat="1" applyFont="1" applyBorder="1" applyAlignment="1">
      <alignment horizontal="right" vertical="center"/>
    </xf>
    <xf numFmtId="4" fontId="13" fillId="0" borderId="56" xfId="0" applyNumberFormat="1" applyFont="1" applyBorder="1" applyAlignment="1" applyProtection="1">
      <alignment horizontal="center" vertical="center"/>
      <protection locked="0"/>
    </xf>
    <xf numFmtId="4" fontId="13" fillId="0" borderId="21" xfId="0" applyNumberFormat="1" applyFont="1" applyBorder="1" applyAlignment="1" applyProtection="1">
      <alignment horizontal="center" vertical="center"/>
      <protection locked="0"/>
    </xf>
    <xf numFmtId="0" fontId="5" fillId="0" borderId="0" xfId="0" applyFont="1"/>
    <xf numFmtId="0" fontId="5" fillId="0" borderId="0" xfId="0" applyFont="1" applyAlignment="1">
      <alignment horizontal="left" wrapText="1"/>
    </xf>
    <xf numFmtId="0" fontId="5" fillId="0" borderId="0" xfId="0" applyFont="1" applyAlignment="1">
      <alignment horizontal="left"/>
    </xf>
    <xf numFmtId="0" fontId="5" fillId="0" borderId="0" xfId="0" applyFont="1" applyAlignment="1">
      <alignment wrapText="1"/>
    </xf>
    <xf numFmtId="0" fontId="11" fillId="2" borderId="17" xfId="0" applyFont="1" applyFill="1" applyBorder="1" applyAlignment="1">
      <alignment horizontal="center" vertical="center"/>
    </xf>
    <xf numFmtId="0" fontId="11" fillId="2" borderId="18" xfId="0" applyFont="1" applyFill="1" applyBorder="1" applyAlignment="1">
      <alignment horizontal="center" vertical="center"/>
    </xf>
    <xf numFmtId="166" fontId="11" fillId="0" borderId="17" xfId="0" applyNumberFormat="1" applyFont="1" applyBorder="1" applyAlignment="1">
      <alignment horizontal="center" vertical="center"/>
    </xf>
    <xf numFmtId="166" fontId="11" fillId="0" borderId="18" xfId="0" applyNumberFormat="1" applyFont="1" applyBorder="1" applyAlignment="1">
      <alignment horizontal="center" vertical="center"/>
    </xf>
    <xf numFmtId="0" fontId="4" fillId="0" borderId="0" xfId="0" applyFont="1" applyAlignment="1">
      <alignment horizontal="left" wrapText="1"/>
    </xf>
    <xf numFmtId="0" fontId="4" fillId="0" borderId="0" xfId="0" applyFont="1" applyAlignment="1">
      <alignment wrapText="1"/>
    </xf>
    <xf numFmtId="0" fontId="11" fillId="2" borderId="16" xfId="0" applyFont="1" applyFill="1" applyBorder="1" applyAlignment="1">
      <alignment horizontal="center" wrapText="1"/>
    </xf>
    <xf numFmtId="0" fontId="11" fillId="2" borderId="15" xfId="0" applyFont="1" applyFill="1" applyBorder="1" applyAlignment="1">
      <alignment horizontal="center" wrapText="1"/>
    </xf>
    <xf numFmtId="0" fontId="17" fillId="0" borderId="17" xfId="0" applyFont="1" applyBorder="1" applyAlignment="1">
      <alignment horizontal="center" vertical="center"/>
    </xf>
    <xf numFmtId="0" fontId="17" fillId="0" borderId="18" xfId="0" applyFont="1" applyBorder="1" applyAlignment="1">
      <alignment horizontal="center" vertical="center"/>
    </xf>
    <xf numFmtId="0" fontId="11" fillId="2" borderId="5" xfId="0" applyFont="1" applyFill="1" applyBorder="1" applyAlignment="1">
      <alignment horizontal="center" wrapText="1"/>
    </xf>
    <xf numFmtId="0" fontId="11" fillId="2" borderId="7" xfId="0" applyFont="1" applyFill="1" applyBorder="1" applyAlignment="1">
      <alignment horizontal="center" wrapText="1"/>
    </xf>
    <xf numFmtId="0" fontId="5" fillId="0" borderId="0" xfId="0" applyFont="1" applyAlignment="1">
      <alignment vertical="center" wrapText="1"/>
    </xf>
    <xf numFmtId="0" fontId="5" fillId="0" borderId="0" xfId="0" applyFont="1" applyAlignment="1">
      <alignment horizontal="left" vertical="top" wrapText="1"/>
    </xf>
    <xf numFmtId="166" fontId="11" fillId="0" borderId="17" xfId="0" applyNumberFormat="1" applyFont="1" applyBorder="1" applyAlignment="1">
      <alignment horizontal="center"/>
    </xf>
    <xf numFmtId="166" fontId="11" fillId="0" borderId="18" xfId="0" applyNumberFormat="1" applyFont="1" applyBorder="1" applyAlignment="1">
      <alignment horizontal="center"/>
    </xf>
    <xf numFmtId="0" fontId="11" fillId="2" borderId="17" xfId="0" applyFont="1" applyFill="1" applyBorder="1" applyAlignment="1">
      <alignment horizontal="center"/>
    </xf>
    <xf numFmtId="0" fontId="11" fillId="2" borderId="18" xfId="0" applyFont="1" applyFill="1" applyBorder="1" applyAlignment="1">
      <alignment horizontal="center"/>
    </xf>
    <xf numFmtId="0" fontId="11" fillId="0" borderId="17" xfId="0" applyFont="1" applyBorder="1" applyAlignment="1">
      <alignment horizontal="center"/>
    </xf>
    <xf numFmtId="0" fontId="5" fillId="0" borderId="0" xfId="0" applyFont="1" applyAlignment="1">
      <alignment horizontal="left" vertical="center"/>
    </xf>
    <xf numFmtId="4" fontId="11" fillId="0" borderId="17" xfId="0" applyNumberFormat="1" applyFont="1" applyBorder="1" applyAlignment="1">
      <alignment horizontal="right" vertical="center"/>
    </xf>
    <xf numFmtId="4" fontId="11" fillId="0" borderId="18" xfId="0" applyNumberFormat="1" applyFont="1" applyBorder="1" applyAlignment="1">
      <alignment horizontal="right" vertical="center"/>
    </xf>
    <xf numFmtId="0" fontId="5" fillId="0" borderId="0" xfId="0" applyFont="1" applyAlignment="1">
      <alignment horizontal="left" vertical="center" wrapText="1"/>
    </xf>
    <xf numFmtId="0" fontId="24" fillId="6" borderId="32" xfId="0" applyFont="1" applyFill="1" applyBorder="1" applyAlignment="1">
      <alignment horizontal="right"/>
    </xf>
    <xf numFmtId="0" fontId="24" fillId="6" borderId="33" xfId="0" applyFont="1" applyFill="1" applyBorder="1" applyAlignment="1">
      <alignment horizontal="right"/>
    </xf>
    <xf numFmtId="0" fontId="24" fillId="6" borderId="34" xfId="0" applyFont="1" applyFill="1" applyBorder="1" applyAlignment="1">
      <alignment horizontal="right"/>
    </xf>
    <xf numFmtId="44" fontId="24" fillId="7" borderId="40" xfId="0" applyNumberFormat="1" applyFont="1" applyFill="1" applyBorder="1" applyAlignment="1">
      <alignment horizontal="center" vertical="center" wrapText="1"/>
    </xf>
    <xf numFmtId="44" fontId="24" fillId="7" borderId="38" xfId="0" applyNumberFormat="1" applyFont="1" applyFill="1" applyBorder="1" applyAlignment="1">
      <alignment horizontal="center" vertical="center" wrapText="1"/>
    </xf>
    <xf numFmtId="44" fontId="24" fillId="7" borderId="37" xfId="0" applyNumberFormat="1" applyFont="1" applyFill="1" applyBorder="1" applyAlignment="1">
      <alignment horizontal="center" vertical="center" wrapText="1"/>
    </xf>
    <xf numFmtId="0" fontId="24" fillId="6" borderId="40" xfId="0" applyFont="1" applyFill="1" applyBorder="1" applyAlignment="1">
      <alignment horizontal="center" wrapText="1"/>
    </xf>
    <xf numFmtId="0" fontId="24" fillId="6" borderId="37" xfId="0" applyFont="1" applyFill="1" applyBorder="1" applyAlignment="1">
      <alignment horizontal="center" wrapText="1"/>
    </xf>
    <xf numFmtId="0" fontId="24" fillId="6" borderId="40" xfId="0" applyFont="1" applyFill="1" applyBorder="1" applyAlignment="1">
      <alignment horizontal="center"/>
    </xf>
    <xf numFmtId="0" fontId="24" fillId="6" borderId="37" xfId="0" applyFont="1" applyFill="1" applyBorder="1" applyAlignment="1">
      <alignment horizontal="center"/>
    </xf>
    <xf numFmtId="44" fontId="24" fillId="6" borderId="40" xfId="0" applyNumberFormat="1" applyFont="1" applyFill="1" applyBorder="1" applyAlignment="1">
      <alignment horizontal="center"/>
    </xf>
    <xf numFmtId="44" fontId="24" fillId="6" borderId="37" xfId="0" applyNumberFormat="1" applyFont="1" applyFill="1" applyBorder="1" applyAlignment="1">
      <alignment horizontal="center"/>
    </xf>
    <xf numFmtId="44" fontId="24" fillId="6" borderId="32" xfId="0" applyNumberFormat="1" applyFont="1" applyFill="1" applyBorder="1" applyAlignment="1">
      <alignment horizontal="left" vertical="center"/>
    </xf>
    <xf numFmtId="44" fontId="24" fillId="6" borderId="33" xfId="0" applyNumberFormat="1" applyFont="1" applyFill="1" applyBorder="1" applyAlignment="1">
      <alignment horizontal="left" vertical="center"/>
    </xf>
    <xf numFmtId="44" fontId="24" fillId="6" borderId="34" xfId="0" applyNumberFormat="1" applyFont="1" applyFill="1" applyBorder="1" applyAlignment="1">
      <alignment horizontal="left" vertical="center"/>
    </xf>
    <xf numFmtId="44" fontId="24" fillId="6" borderId="40" xfId="0" applyNumberFormat="1" applyFont="1" applyFill="1" applyBorder="1" applyAlignment="1">
      <alignment horizontal="center" vertical="center" wrapText="1"/>
    </xf>
    <xf numFmtId="44" fontId="24" fillId="6" borderId="38" xfId="0" applyNumberFormat="1" applyFont="1" applyFill="1" applyBorder="1" applyAlignment="1">
      <alignment horizontal="center" vertical="center" wrapText="1"/>
    </xf>
    <xf numFmtId="44" fontId="24" fillId="6" borderId="37" xfId="0" applyNumberFormat="1"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0" fillId="0" borderId="33" xfId="0" applyFont="1" applyBorder="1" applyAlignment="1">
      <alignment vertical="center" wrapText="1"/>
    </xf>
    <xf numFmtId="0" fontId="10" fillId="0" borderId="42" xfId="0" applyFont="1" applyBorder="1" applyAlignment="1">
      <alignment vertical="center" wrapText="1"/>
    </xf>
  </cellXfs>
  <cellStyles count="2">
    <cellStyle name="Normal" xfId="0" builtinId="0"/>
    <cellStyle name="Percent" xfId="1" builtinId="5"/>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vertical/>
        <horizontal/>
      </border>
    </dxf>
    <dxf>
      <font>
        <color rgb="FF9C0006"/>
      </font>
      <fill>
        <patternFill>
          <bgColor rgb="FFFFC7CE"/>
        </patternFill>
      </fill>
    </dxf>
    <dxf>
      <border>
        <left style="thin">
          <color rgb="FF9C0006"/>
        </left>
        <right style="thin">
          <color rgb="FF9C0006"/>
        </right>
        <top style="thin">
          <color rgb="FF9C0006"/>
        </top>
        <bottom style="thin">
          <color rgb="FF9C0006"/>
        </bottom>
        <vertical/>
        <horizontal/>
      </border>
    </dxf>
    <dxf>
      <font>
        <color rgb="FF9C0006"/>
      </font>
      <fill>
        <patternFill>
          <bgColor rgb="FFFFC7CE"/>
        </patternFill>
      </fill>
    </dxf>
    <dxf>
      <border>
        <left style="thin">
          <color rgb="FF9C0006"/>
        </left>
        <right style="thin">
          <color rgb="FF9C0006"/>
        </right>
        <top style="thin">
          <color rgb="FF9C0006"/>
        </top>
        <bottom style="thin">
          <color rgb="FF9C0006"/>
        </bottom>
        <vertical/>
        <horizontal/>
      </border>
    </dxf>
    <dxf>
      <font>
        <color rgb="FF9C0006"/>
      </font>
      <fill>
        <patternFill>
          <bgColor rgb="FFFFC7CE"/>
        </patternFill>
      </fill>
    </dxf>
    <dxf>
      <border>
        <left style="thin">
          <color rgb="FF9C0006"/>
        </left>
        <right style="thin">
          <color rgb="FF9C0006"/>
        </right>
        <top style="thin">
          <color rgb="FF9C0006"/>
        </top>
        <bottom style="thin">
          <color rgb="FF9C0006"/>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patternType="darkUp">
          <fgColor auto="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6"/>
      <tableStyleElement type="headerRow" dxfId="25"/>
    </tableStyle>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2"/>
  <sheetViews>
    <sheetView topLeftCell="A24" zoomScaleNormal="100" zoomScaleSheetLayoutView="85" workbookViewId="0">
      <selection activeCell="D41" sqref="D41"/>
    </sheetView>
  </sheetViews>
  <sheetFormatPr defaultColWidth="9.140625" defaultRowHeight="14.25" x14ac:dyDescent="0.2"/>
  <cols>
    <col min="1" max="1" width="30.7109375" style="56" customWidth="1"/>
    <col min="2" max="2" width="15.7109375" style="56" customWidth="1"/>
    <col min="3" max="7" width="20.7109375" style="56" customWidth="1"/>
    <col min="8" max="12" width="9.7109375" style="56" customWidth="1"/>
    <col min="13" max="16384" width="9.140625" style="56"/>
  </cols>
  <sheetData>
    <row r="1" spans="1:12" ht="15.75" x14ac:dyDescent="0.25">
      <c r="A1" s="344" t="s">
        <v>0</v>
      </c>
      <c r="B1" s="344"/>
      <c r="C1" s="344"/>
      <c r="D1" s="344"/>
      <c r="E1" s="344"/>
      <c r="F1" s="344"/>
      <c r="G1" s="344"/>
      <c r="H1" s="344"/>
      <c r="I1" s="344"/>
      <c r="J1" s="344"/>
      <c r="K1" s="344"/>
      <c r="L1" s="344"/>
    </row>
    <row r="2" spans="1:12" ht="15" x14ac:dyDescent="0.25">
      <c r="A2" s="66"/>
      <c r="B2" s="55"/>
      <c r="C2" s="55"/>
      <c r="D2" s="55"/>
      <c r="E2" s="55"/>
      <c r="F2" s="55"/>
      <c r="G2" s="55"/>
      <c r="H2" s="55"/>
      <c r="I2" s="104"/>
      <c r="J2" s="104"/>
      <c r="K2" s="104"/>
      <c r="L2" s="104"/>
    </row>
    <row r="3" spans="1:12" x14ac:dyDescent="0.2">
      <c r="A3" s="56" t="s">
        <v>1</v>
      </c>
      <c r="B3" s="349" t="s">
        <v>199</v>
      </c>
      <c r="C3" s="349"/>
      <c r="F3" s="56" t="s">
        <v>26</v>
      </c>
      <c r="G3" s="280" t="s">
        <v>192</v>
      </c>
      <c r="H3" s="58"/>
      <c r="I3" s="59"/>
      <c r="J3" s="58"/>
      <c r="K3" s="59"/>
    </row>
    <row r="4" spans="1:12" x14ac:dyDescent="0.2">
      <c r="A4" s="56" t="s">
        <v>62</v>
      </c>
      <c r="B4" s="275" t="s">
        <v>219</v>
      </c>
      <c r="C4" s="275"/>
      <c r="F4" s="56" t="s">
        <v>152</v>
      </c>
      <c r="G4" s="60" t="s">
        <v>191</v>
      </c>
      <c r="H4" s="61"/>
      <c r="I4" s="62"/>
      <c r="J4" s="61"/>
      <c r="K4" s="62"/>
    </row>
    <row r="5" spans="1:12" x14ac:dyDescent="0.2">
      <c r="A5" s="56" t="s">
        <v>2</v>
      </c>
      <c r="B5" s="301" t="s">
        <v>189</v>
      </c>
      <c r="C5" s="276"/>
      <c r="D5" s="57"/>
      <c r="E5" s="57"/>
      <c r="F5" s="57"/>
      <c r="G5" s="57"/>
      <c r="H5" s="63"/>
      <c r="I5" s="64"/>
      <c r="J5" s="58"/>
      <c r="K5" s="64"/>
    </row>
    <row r="6" spans="1:12" x14ac:dyDescent="0.2">
      <c r="A6" s="56" t="s">
        <v>3</v>
      </c>
      <c r="B6" s="277" t="s">
        <v>190</v>
      </c>
      <c r="C6" s="278" t="s">
        <v>4</v>
      </c>
      <c r="E6" s="280" t="s">
        <v>196</v>
      </c>
      <c r="F6" s="56" t="s">
        <v>5</v>
      </c>
    </row>
    <row r="7" spans="1:12" x14ac:dyDescent="0.2">
      <c r="A7" s="56" t="s">
        <v>6</v>
      </c>
      <c r="B7" s="279" t="s">
        <v>214</v>
      </c>
      <c r="C7" s="278"/>
    </row>
    <row r="8" spans="1:12" x14ac:dyDescent="0.2">
      <c r="A8" s="65"/>
      <c r="B8" s="65"/>
      <c r="C8" s="65"/>
      <c r="D8" s="65"/>
      <c r="E8" s="65"/>
      <c r="F8" s="65"/>
      <c r="G8" s="65"/>
      <c r="H8" s="65"/>
      <c r="I8" s="65"/>
      <c r="J8" s="65"/>
      <c r="K8" s="65"/>
      <c r="L8" s="65"/>
    </row>
    <row r="9" spans="1:12" ht="15" x14ac:dyDescent="0.25">
      <c r="A9" s="66" t="s">
        <v>7</v>
      </c>
    </row>
    <row r="10" spans="1:12" x14ac:dyDescent="0.2">
      <c r="A10" s="65"/>
      <c r="B10" s="65"/>
      <c r="C10" s="65"/>
      <c r="D10" s="65"/>
      <c r="E10" s="65"/>
      <c r="F10" s="65"/>
      <c r="G10" s="65"/>
      <c r="H10" s="65"/>
      <c r="I10" s="65"/>
      <c r="J10" s="65"/>
      <c r="K10" s="65"/>
      <c r="L10" s="65"/>
    </row>
    <row r="11" spans="1:12" x14ac:dyDescent="0.2">
      <c r="A11" s="67"/>
      <c r="B11" s="68" t="s">
        <v>63</v>
      </c>
      <c r="C11" s="345" t="s">
        <v>65</v>
      </c>
      <c r="D11" s="330"/>
      <c r="E11" s="331"/>
      <c r="F11" s="69" t="s">
        <v>66</v>
      </c>
      <c r="G11" s="70"/>
      <c r="H11" s="71"/>
      <c r="I11" s="72"/>
      <c r="J11" s="72"/>
      <c r="K11" s="72"/>
      <c r="L11" s="73"/>
    </row>
    <row r="12" spans="1:12" x14ac:dyDescent="0.2">
      <c r="A12" s="74" t="s">
        <v>8</v>
      </c>
      <c r="B12" s="75" t="s">
        <v>9</v>
      </c>
      <c r="C12" s="76" t="s">
        <v>57</v>
      </c>
      <c r="D12" s="77" t="s">
        <v>58</v>
      </c>
      <c r="E12" s="75" t="s">
        <v>69</v>
      </c>
      <c r="F12" s="78" t="s">
        <v>57</v>
      </c>
      <c r="G12" s="71" t="s">
        <v>10</v>
      </c>
      <c r="H12" s="346" t="s">
        <v>11</v>
      </c>
      <c r="I12" s="347"/>
      <c r="J12" s="347"/>
      <c r="K12" s="347"/>
      <c r="L12" s="348"/>
    </row>
    <row r="13" spans="1:12" x14ac:dyDescent="0.2">
      <c r="A13" s="79"/>
      <c r="B13" s="80" t="s">
        <v>12</v>
      </c>
      <c r="C13" s="81" t="s">
        <v>12</v>
      </c>
      <c r="D13" s="82" t="s">
        <v>12</v>
      </c>
      <c r="E13" s="80" t="s">
        <v>12</v>
      </c>
      <c r="F13" s="83" t="s">
        <v>12</v>
      </c>
      <c r="G13" s="84" t="s">
        <v>12</v>
      </c>
      <c r="H13" s="85"/>
      <c r="I13" s="86"/>
      <c r="J13" s="86"/>
      <c r="K13" s="86"/>
      <c r="L13" s="87"/>
    </row>
    <row r="14" spans="1:12" x14ac:dyDescent="0.2">
      <c r="A14" s="190" t="s">
        <v>13</v>
      </c>
      <c r="B14" s="191"/>
      <c r="C14" s="192"/>
      <c r="D14" s="192"/>
      <c r="E14" s="192"/>
      <c r="F14" s="192"/>
      <c r="G14" s="192"/>
      <c r="H14" s="192"/>
      <c r="I14" s="192"/>
      <c r="J14" s="192"/>
      <c r="K14" s="192"/>
      <c r="L14" s="193"/>
    </row>
    <row r="15" spans="1:12" ht="15" customHeight="1" x14ac:dyDescent="0.2">
      <c r="A15" s="88" t="s">
        <v>96</v>
      </c>
      <c r="B15" s="350" t="s">
        <v>198</v>
      </c>
      <c r="C15" s="354" t="s">
        <v>225</v>
      </c>
      <c r="D15" s="241" t="str">
        <f>C15</f>
        <v>${summary.cumExpenseUptoPrevClaim}</v>
      </c>
      <c r="E15" s="352" t="e">
        <f>B15-D15-D16</f>
        <v>#VALUE!</v>
      </c>
      <c r="F15" s="242">
        <f>EOM!J9</f>
        <v>0</v>
      </c>
      <c r="G15" s="243" t="e">
        <f>EOM!L9</f>
        <v>#VALUE!</v>
      </c>
      <c r="H15" s="332"/>
      <c r="I15" s="333"/>
      <c r="J15" s="333"/>
      <c r="K15" s="333"/>
      <c r="L15" s="334"/>
    </row>
    <row r="16" spans="1:12" x14ac:dyDescent="0.2">
      <c r="A16" s="88" t="s">
        <v>97</v>
      </c>
      <c r="B16" s="351"/>
      <c r="C16" s="355"/>
      <c r="D16" s="241">
        <f>C16</f>
        <v>0</v>
      </c>
      <c r="E16" s="353"/>
      <c r="F16" s="242" t="str">
        <f>EOM!J12</f>
        <v>$[SUM(U_(J11))]</v>
      </c>
      <c r="G16" s="243" t="str">
        <f>EOM!L12</f>
        <v>$[SUM(U_(L11))]</v>
      </c>
      <c r="H16" s="332"/>
      <c r="I16" s="333"/>
      <c r="J16" s="333"/>
      <c r="K16" s="333"/>
      <c r="L16" s="334"/>
    </row>
    <row r="17" spans="1:12" x14ac:dyDescent="0.2">
      <c r="A17" s="89" t="s">
        <v>14</v>
      </c>
      <c r="B17" s="244">
        <f>SUM(B15:B16)</f>
        <v>0</v>
      </c>
      <c r="C17" s="245">
        <f>SUM(C15:C16)</f>
        <v>0</v>
      </c>
      <c r="D17" s="246">
        <f>SUM(D15:D16)</f>
        <v>0</v>
      </c>
      <c r="E17" s="244">
        <f>B17-D17</f>
        <v>0</v>
      </c>
      <c r="F17" s="247">
        <f>SUM(F15:F16)</f>
        <v>0</v>
      </c>
      <c r="G17" s="246" t="e">
        <f>SUM(G15:G16)</f>
        <v>#VALUE!</v>
      </c>
      <c r="H17" s="329"/>
      <c r="I17" s="330"/>
      <c r="J17" s="330"/>
      <c r="K17" s="330"/>
      <c r="L17" s="331"/>
    </row>
    <row r="18" spans="1:12" x14ac:dyDescent="0.2">
      <c r="A18" s="190" t="s">
        <v>15</v>
      </c>
      <c r="B18" s="248"/>
      <c r="C18" s="248"/>
      <c r="D18" s="248"/>
      <c r="E18" s="249"/>
      <c r="F18" s="249"/>
      <c r="G18" s="249"/>
      <c r="H18" s="192"/>
      <c r="I18" s="192"/>
      <c r="J18" s="192"/>
      <c r="K18" s="192"/>
      <c r="L18" s="193"/>
    </row>
    <row r="19" spans="1:12" x14ac:dyDescent="0.2">
      <c r="A19" s="88" t="s">
        <v>98</v>
      </c>
      <c r="B19" s="250" t="s">
        <v>198</v>
      </c>
      <c r="C19" s="240" t="s">
        <v>225</v>
      </c>
      <c r="D19" s="241" t="str">
        <f>C19</f>
        <v>${summary.cumExpenseUptoPrevClaim}</v>
      </c>
      <c r="E19" s="251" t="e">
        <f>B19-D19</f>
        <v>#VALUE!</v>
      </c>
      <c r="F19" s="242">
        <f>Equipment!F6</f>
        <v>0</v>
      </c>
      <c r="G19" s="243" t="e">
        <f>Equipment!H6</f>
        <v>#VALUE!</v>
      </c>
      <c r="H19" s="332"/>
      <c r="I19" s="333"/>
      <c r="J19" s="333"/>
      <c r="K19" s="333"/>
      <c r="L19" s="334"/>
    </row>
    <row r="20" spans="1:12" x14ac:dyDescent="0.2">
      <c r="A20" s="89" t="s">
        <v>16</v>
      </c>
      <c r="B20" s="244">
        <f>SUM(B19:B19)</f>
        <v>0</v>
      </c>
      <c r="C20" s="245">
        <f>SUM(C19:C19)</f>
        <v>0</v>
      </c>
      <c r="D20" s="246">
        <f>SUM(D19:D19)</f>
        <v>0</v>
      </c>
      <c r="E20" s="244">
        <f>B20-D20</f>
        <v>0</v>
      </c>
      <c r="F20" s="247">
        <f>F19</f>
        <v>0</v>
      </c>
      <c r="G20" s="246" t="e">
        <f>G19</f>
        <v>#VALUE!</v>
      </c>
      <c r="H20" s="329"/>
      <c r="I20" s="330"/>
      <c r="J20" s="330"/>
      <c r="K20" s="330"/>
      <c r="L20" s="331"/>
    </row>
    <row r="21" spans="1:12" x14ac:dyDescent="0.2">
      <c r="A21" s="190" t="s">
        <v>108</v>
      </c>
      <c r="B21" s="248"/>
      <c r="C21" s="248"/>
      <c r="D21" s="248"/>
      <c r="E21" s="249"/>
      <c r="F21" s="249"/>
      <c r="G21" s="249"/>
      <c r="H21" s="192"/>
      <c r="I21" s="192"/>
      <c r="J21" s="192"/>
      <c r="K21" s="192"/>
      <c r="L21" s="193"/>
    </row>
    <row r="22" spans="1:12" x14ac:dyDescent="0.2">
      <c r="A22" s="88" t="s">
        <v>17</v>
      </c>
      <c r="B22" s="252" t="s">
        <v>198</v>
      </c>
      <c r="C22" s="253" t="s">
        <v>225</v>
      </c>
      <c r="D22" s="241" t="str">
        <f>C22</f>
        <v>${summary.cumExpenseUptoPrevClaim}</v>
      </c>
      <c r="E22" s="251" t="e">
        <f>B22-D22</f>
        <v>#VALUE!</v>
      </c>
      <c r="F22" s="242">
        <f>OOE!F8</f>
        <v>0</v>
      </c>
      <c r="G22" s="243" t="e">
        <f>OOE!H8</f>
        <v>#VALUE!</v>
      </c>
      <c r="H22" s="332"/>
      <c r="I22" s="333"/>
      <c r="J22" s="333"/>
      <c r="K22" s="333"/>
      <c r="L22" s="334"/>
    </row>
    <row r="23" spans="1:12" x14ac:dyDescent="0.2">
      <c r="A23" s="88" t="s">
        <v>27</v>
      </c>
      <c r="B23" s="252">
        <v>0</v>
      </c>
      <c r="C23" s="253">
        <v>0</v>
      </c>
      <c r="D23" s="241">
        <v>0</v>
      </c>
      <c r="E23" s="251">
        <f>B23-D23</f>
        <v>0</v>
      </c>
      <c r="F23" s="242">
        <f>OOE!F24</f>
        <v>0</v>
      </c>
      <c r="G23" s="243">
        <f>OOE!H24</f>
        <v>0</v>
      </c>
      <c r="H23" s="332"/>
      <c r="I23" s="333"/>
      <c r="J23" s="333"/>
      <c r="K23" s="333"/>
      <c r="L23" s="334"/>
    </row>
    <row r="24" spans="1:12" x14ac:dyDescent="0.2">
      <c r="A24" s="88" t="s">
        <v>28</v>
      </c>
      <c r="B24" s="252" t="s">
        <v>198</v>
      </c>
      <c r="C24" s="253" t="s">
        <v>225</v>
      </c>
      <c r="D24" s="241" t="str">
        <f>C24</f>
        <v>${summary.cumExpenseUptoPrevClaim}</v>
      </c>
      <c r="E24" s="251" t="e">
        <f>B24-D24</f>
        <v>#VALUE!</v>
      </c>
      <c r="F24" s="242">
        <f>OOE!F37</f>
        <v>0</v>
      </c>
      <c r="G24" s="243" t="e">
        <f>OOE!H37</f>
        <v>#VALUE!</v>
      </c>
      <c r="H24" s="332"/>
      <c r="I24" s="333"/>
      <c r="J24" s="333"/>
      <c r="K24" s="333"/>
      <c r="L24" s="334"/>
    </row>
    <row r="25" spans="1:12" x14ac:dyDescent="0.2">
      <c r="A25" s="89" t="s">
        <v>106</v>
      </c>
      <c r="B25" s="244">
        <f>SUM(B22:B24)</f>
        <v>0</v>
      </c>
      <c r="C25" s="245">
        <f>SUM(C22:C24)</f>
        <v>0</v>
      </c>
      <c r="D25" s="246">
        <f>SUM(D22:D24)</f>
        <v>0</v>
      </c>
      <c r="E25" s="244">
        <f>B25-D25</f>
        <v>0</v>
      </c>
      <c r="F25" s="247">
        <f>SUM(F22:F24)</f>
        <v>0</v>
      </c>
      <c r="G25" s="246" t="e">
        <f>SUM(G22:G24)</f>
        <v>#VALUE!</v>
      </c>
      <c r="H25" s="329"/>
      <c r="I25" s="330"/>
      <c r="J25" s="330"/>
      <c r="K25" s="330"/>
      <c r="L25" s="331"/>
    </row>
    <row r="26" spans="1:12" x14ac:dyDescent="0.2">
      <c r="A26" s="190" t="s">
        <v>109</v>
      </c>
      <c r="B26" s="248"/>
      <c r="C26" s="248"/>
      <c r="D26" s="248"/>
      <c r="E26" s="249"/>
      <c r="F26" s="249"/>
      <c r="G26" s="249"/>
      <c r="H26" s="192"/>
      <c r="I26" s="192"/>
      <c r="J26" s="192"/>
      <c r="K26" s="192"/>
      <c r="L26" s="193"/>
    </row>
    <row r="27" spans="1:12" x14ac:dyDescent="0.2">
      <c r="A27" s="88" t="s">
        <v>110</v>
      </c>
      <c r="B27" s="250" t="s">
        <v>198</v>
      </c>
      <c r="C27" s="240" t="s">
        <v>225</v>
      </c>
      <c r="D27" s="241" t="str">
        <f>C27</f>
        <v>${summary.cumExpenseUptoPrevClaim}</v>
      </c>
      <c r="E27" s="251" t="e">
        <f>B27-D27</f>
        <v>#VALUE!</v>
      </c>
      <c r="F27" s="242">
        <f>'Overseas Travel'!E6</f>
        <v>0</v>
      </c>
      <c r="G27" s="243" t="e">
        <f>'Overseas Travel'!G6</f>
        <v>#VALUE!</v>
      </c>
      <c r="H27" s="332"/>
      <c r="I27" s="333"/>
      <c r="J27" s="333"/>
      <c r="K27" s="333"/>
      <c r="L27" s="334"/>
    </row>
    <row r="28" spans="1:12" x14ac:dyDescent="0.2">
      <c r="A28" s="89" t="s">
        <v>111</v>
      </c>
      <c r="B28" s="244">
        <f>SUM(B27:B27)</f>
        <v>0</v>
      </c>
      <c r="C28" s="245">
        <f>SUM(C27:C27)</f>
        <v>0</v>
      </c>
      <c r="D28" s="246">
        <f>SUM(D27:D27)</f>
        <v>0</v>
      </c>
      <c r="E28" s="244">
        <f>B28-D28</f>
        <v>0</v>
      </c>
      <c r="F28" s="247">
        <f>F27</f>
        <v>0</v>
      </c>
      <c r="G28" s="246" t="e">
        <f>G27</f>
        <v>#VALUE!</v>
      </c>
      <c r="H28" s="329"/>
      <c r="I28" s="330"/>
      <c r="J28" s="330"/>
      <c r="K28" s="330"/>
      <c r="L28" s="331"/>
    </row>
    <row r="29" spans="1:12" x14ac:dyDescent="0.2">
      <c r="A29" s="190" t="s">
        <v>112</v>
      </c>
      <c r="B29" s="248"/>
      <c r="C29" s="248"/>
      <c r="D29" s="248"/>
      <c r="E29" s="249"/>
      <c r="F29" s="249"/>
      <c r="G29" s="249"/>
      <c r="H29" s="192"/>
      <c r="I29" s="192"/>
      <c r="J29" s="192"/>
      <c r="K29" s="192"/>
      <c r="L29" s="193"/>
    </row>
    <row r="30" spans="1:12" x14ac:dyDescent="0.2">
      <c r="A30" s="88" t="s">
        <v>114</v>
      </c>
      <c r="B30" s="252" t="s">
        <v>198</v>
      </c>
      <c r="C30" s="240" t="s">
        <v>225</v>
      </c>
      <c r="D30" s="241" t="str">
        <f>C30</f>
        <v>${summary.cumExpenseUptoPrevClaim}</v>
      </c>
      <c r="E30" s="254" t="e">
        <f>B30-D30</f>
        <v>#VALUE!</v>
      </c>
      <c r="F30" s="242">
        <f>'Research Scholarship'!H6</f>
        <v>0</v>
      </c>
      <c r="G30" s="243" t="e">
        <f>'Research Scholarship'!J6</f>
        <v>#VALUE!</v>
      </c>
      <c r="H30" s="332"/>
      <c r="I30" s="333"/>
      <c r="J30" s="333"/>
      <c r="K30" s="333"/>
      <c r="L30" s="334"/>
    </row>
    <row r="31" spans="1:12" x14ac:dyDescent="0.2">
      <c r="A31" s="90" t="s">
        <v>113</v>
      </c>
      <c r="B31" s="255">
        <f>SUM(B30:B30)</f>
        <v>0</v>
      </c>
      <c r="C31" s="256">
        <f>SUM(C30:C30)</f>
        <v>0</v>
      </c>
      <c r="D31" s="257">
        <f>SUM(D30:D30)</f>
        <v>0</v>
      </c>
      <c r="E31" s="255">
        <f>B31-D31</f>
        <v>0</v>
      </c>
      <c r="F31" s="258">
        <f>F30</f>
        <v>0</v>
      </c>
      <c r="G31" s="257" t="e">
        <f>G30</f>
        <v>#VALUE!</v>
      </c>
      <c r="H31" s="329"/>
      <c r="I31" s="330"/>
      <c r="J31" s="330"/>
      <c r="K31" s="330"/>
      <c r="L31" s="331"/>
    </row>
    <row r="32" spans="1:12" x14ac:dyDescent="0.2">
      <c r="A32" s="194" t="s">
        <v>115</v>
      </c>
      <c r="B32" s="327"/>
      <c r="C32" s="259"/>
      <c r="D32" s="259"/>
      <c r="E32" s="260"/>
      <c r="F32" s="260"/>
      <c r="G32" s="260"/>
      <c r="H32" s="188"/>
      <c r="I32" s="188"/>
      <c r="J32" s="188"/>
      <c r="K32" s="188"/>
      <c r="L32" s="189"/>
    </row>
    <row r="33" spans="1:12" x14ac:dyDescent="0.2">
      <c r="A33" s="91" t="s">
        <v>232</v>
      </c>
      <c r="B33" s="261" cm="1">
        <f t="array" aca="1" ref="B33" ca="1">ROUND(SUM(B17,B20,B25,B28,B31)*SUMPRODUCT(MID(0&amp;A33, LARGE(INDEX(ISNUMBER(--MID(A33, ROW(INDIRECT("1:"&amp;LEN(A33))), 1)) * ROW(INDIRECT("1:"&amp;LEN(A33))), 0), ROW(INDIRECT("1:"&amp;LEN(A33))))+1, 1) * 10^ROW(INDIRECT("1:"&amp;LEN(A33)))/10)%, 2)</f>
        <v>0</v>
      </c>
      <c r="C33" s="262"/>
      <c r="D33" s="263" cm="1">
        <f t="array" aca="1" ref="D33" ca="1">ROUND(SUM(D17,D20,D25,D28,D31)*SUMPRODUCT(MID(0&amp;A33, LARGE(INDEX(ISNUMBER(--MID(A33, ROW(INDIRECT("1:"&amp;LEN(A33))), 1)) * ROW(INDIRECT("1:"&amp;LEN(A33))), 0), ROW(INDIRECT("1:"&amp;LEN(A33))))+1, 1) * 10^ROW(INDIRECT("1:"&amp;LEN(A33)))/10)%, 2)</f>
        <v>0</v>
      </c>
      <c r="E33" s="264">
        <f ca="1">B33-D33</f>
        <v>0</v>
      </c>
      <c r="F33" s="265"/>
      <c r="G33" s="266" t="e">
        <f>'Indirect Costs'!C19</f>
        <v>#VALUE!</v>
      </c>
      <c r="H33" s="335"/>
      <c r="I33" s="336"/>
      <c r="J33" s="336"/>
      <c r="K33" s="336"/>
      <c r="L33" s="337"/>
    </row>
    <row r="34" spans="1:12" ht="15" thickBot="1" x14ac:dyDescent="0.25">
      <c r="A34" s="145" t="s">
        <v>116</v>
      </c>
      <c r="B34" s="267">
        <f ca="1">B33</f>
        <v>0</v>
      </c>
      <c r="C34" s="268"/>
      <c r="D34" s="269">
        <f ca="1">D33</f>
        <v>0</v>
      </c>
      <c r="E34" s="267">
        <f ca="1">B34-D34</f>
        <v>0</v>
      </c>
      <c r="F34" s="268"/>
      <c r="G34" s="269" t="e">
        <f>G33</f>
        <v>#VALUE!</v>
      </c>
      <c r="H34" s="338"/>
      <c r="I34" s="339"/>
      <c r="J34" s="339"/>
      <c r="K34" s="339"/>
      <c r="L34" s="340"/>
    </row>
    <row r="35" spans="1:12" ht="29.25" customHeight="1" thickTop="1" x14ac:dyDescent="0.2">
      <c r="A35" s="92" t="s">
        <v>117</v>
      </c>
      <c r="B35" s="270">
        <f ca="1">B17+B20+B25+B28+B31+B34</f>
        <v>0</v>
      </c>
      <c r="C35" s="271">
        <f>C17+C20+C25+C28+C31</f>
        <v>0</v>
      </c>
      <c r="D35" s="272">
        <f ca="1">D17+D20+D25+D28+D31+D34</f>
        <v>0</v>
      </c>
      <c r="E35" s="270">
        <f ca="1">E17+E20+E25+E28+E31+E34</f>
        <v>0</v>
      </c>
      <c r="F35" s="273">
        <f>F17+F20+F25+F28+F31</f>
        <v>0</v>
      </c>
      <c r="G35" s="272" t="e">
        <f>G17+G20+G25+G28+G31+G34</f>
        <v>#VALUE!</v>
      </c>
      <c r="H35" s="341" t="s">
        <v>72</v>
      </c>
      <c r="I35" s="342"/>
      <c r="J35" s="342"/>
      <c r="K35" s="343"/>
      <c r="L35" s="239" t="e">
        <f ca="1">(G35+D35)/B35</f>
        <v>#VALUE!</v>
      </c>
    </row>
    <row r="36" spans="1:12" x14ac:dyDescent="0.2">
      <c r="A36" s="93" t="s">
        <v>18</v>
      </c>
      <c r="B36" s="94"/>
      <c r="C36" s="95"/>
      <c r="D36" s="96"/>
      <c r="E36" s="94"/>
      <c r="F36" s="97"/>
      <c r="G36" s="96"/>
      <c r="H36" s="187"/>
      <c r="I36" s="188"/>
      <c r="J36" s="188"/>
      <c r="K36" s="188"/>
      <c r="L36" s="189"/>
    </row>
    <row r="37" spans="1:12" x14ac:dyDescent="0.2">
      <c r="A37" s="111" t="s">
        <v>59</v>
      </c>
      <c r="B37" s="104"/>
      <c r="C37" s="104"/>
      <c r="D37" s="104"/>
      <c r="E37" s="104"/>
      <c r="F37" s="104"/>
      <c r="G37" s="104"/>
      <c r="H37" s="104"/>
      <c r="I37" s="104"/>
      <c r="J37" s="104"/>
      <c r="K37" s="104"/>
      <c r="L37" s="104"/>
    </row>
    <row r="38" spans="1:12" x14ac:dyDescent="0.2">
      <c r="A38" s="328"/>
      <c r="B38" s="328"/>
      <c r="C38" s="328"/>
      <c r="D38" s="328"/>
      <c r="E38" s="328"/>
      <c r="F38" s="328"/>
      <c r="G38" s="328"/>
      <c r="H38" s="328"/>
      <c r="I38" s="328"/>
      <c r="J38" s="328"/>
      <c r="K38" s="328"/>
      <c r="L38" s="328"/>
    </row>
    <row r="39" spans="1:12" x14ac:dyDescent="0.2">
      <c r="A39" s="104" t="s">
        <v>29</v>
      </c>
      <c r="B39" s="202"/>
      <c r="C39" s="202"/>
      <c r="D39" s="202"/>
      <c r="E39" s="202"/>
      <c r="F39" s="202"/>
      <c r="G39" s="202"/>
      <c r="H39" s="202"/>
      <c r="I39" s="202"/>
      <c r="J39" s="202"/>
      <c r="K39" s="202"/>
      <c r="L39" s="202"/>
    </row>
    <row r="40" spans="1:12" x14ac:dyDescent="0.2">
      <c r="A40" s="104" t="s">
        <v>132</v>
      </c>
    </row>
    <row r="41" spans="1:12" x14ac:dyDescent="0.2">
      <c r="A41" s="104" t="s">
        <v>131</v>
      </c>
    </row>
    <row r="42" spans="1:12" x14ac:dyDescent="0.2">
      <c r="A42" s="104" t="s">
        <v>73</v>
      </c>
      <c r="H42" s="98" t="s">
        <v>19</v>
      </c>
      <c r="I42" s="99"/>
      <c r="J42" s="99"/>
      <c r="K42" s="100"/>
      <c r="L42" s="101"/>
    </row>
    <row r="43" spans="1:12" ht="15" x14ac:dyDescent="0.25">
      <c r="B43" s="104"/>
      <c r="C43" s="104"/>
      <c r="D43" s="104"/>
      <c r="E43" s="104"/>
      <c r="F43" s="104"/>
      <c r="G43" s="104"/>
      <c r="H43" s="102" t="s">
        <v>20</v>
      </c>
      <c r="L43" s="103"/>
    </row>
    <row r="44" spans="1:12" ht="15" x14ac:dyDescent="0.25">
      <c r="H44" s="102"/>
      <c r="L44" s="103"/>
    </row>
    <row r="45" spans="1:12" ht="15" x14ac:dyDescent="0.25">
      <c r="A45" s="57"/>
      <c r="B45" s="57"/>
      <c r="D45" s="57"/>
      <c r="E45" s="57"/>
      <c r="F45" s="57"/>
      <c r="H45" s="102"/>
      <c r="L45" s="103"/>
    </row>
    <row r="46" spans="1:12" ht="15" x14ac:dyDescent="0.25">
      <c r="A46" s="104" t="s">
        <v>21</v>
      </c>
      <c r="B46" s="104"/>
      <c r="D46" s="104" t="s">
        <v>21</v>
      </c>
      <c r="E46" s="104"/>
      <c r="F46" s="100"/>
      <c r="G46" s="104"/>
      <c r="H46" s="102"/>
      <c r="L46" s="103"/>
    </row>
    <row r="47" spans="1:12" x14ac:dyDescent="0.2">
      <c r="A47" s="104" t="s">
        <v>30</v>
      </c>
      <c r="B47" s="104"/>
      <c r="D47" s="104" t="s">
        <v>123</v>
      </c>
      <c r="E47" s="104"/>
      <c r="F47" s="104"/>
      <c r="G47" s="104"/>
      <c r="H47" s="105"/>
      <c r="L47" s="103"/>
    </row>
    <row r="48" spans="1:12" x14ac:dyDescent="0.2">
      <c r="A48" s="106" t="s">
        <v>192</v>
      </c>
      <c r="B48" s="106"/>
      <c r="D48" s="106" t="s">
        <v>193</v>
      </c>
      <c r="E48" s="106"/>
      <c r="F48" s="106"/>
      <c r="G48" s="104"/>
      <c r="H48" s="105" t="s">
        <v>22</v>
      </c>
      <c r="I48" s="104"/>
      <c r="J48" s="104"/>
      <c r="L48" s="107"/>
    </row>
    <row r="49" spans="1:12" ht="16.5" customHeight="1" x14ac:dyDescent="0.2">
      <c r="A49" s="104" t="s">
        <v>194</v>
      </c>
      <c r="B49" s="104"/>
      <c r="D49" s="104" t="s">
        <v>195</v>
      </c>
      <c r="E49" s="104"/>
      <c r="F49" s="104"/>
      <c r="G49" s="104"/>
      <c r="H49" s="105" t="s">
        <v>23</v>
      </c>
      <c r="I49" s="104"/>
      <c r="J49" s="104"/>
      <c r="K49" s="104"/>
      <c r="L49" s="107"/>
    </row>
    <row r="50" spans="1:12" x14ac:dyDescent="0.2">
      <c r="A50" s="104" t="s">
        <v>107</v>
      </c>
      <c r="B50" s="104"/>
      <c r="D50" s="104" t="s">
        <v>107</v>
      </c>
      <c r="G50" s="104"/>
      <c r="H50" s="105" t="s">
        <v>24</v>
      </c>
      <c r="I50" s="104"/>
      <c r="J50" s="104"/>
      <c r="L50" s="107"/>
    </row>
    <row r="51" spans="1:12" x14ac:dyDescent="0.2">
      <c r="H51" s="108" t="s">
        <v>25</v>
      </c>
      <c r="I51" s="109"/>
      <c r="J51" s="109"/>
      <c r="K51" s="57"/>
      <c r="L51" s="110"/>
    </row>
    <row r="52" spans="1:12" x14ac:dyDescent="0.2">
      <c r="I52" s="104"/>
      <c r="J52" s="104"/>
      <c r="L52" s="104"/>
    </row>
  </sheetData>
  <mergeCells count="24">
    <mergeCell ref="H17:L17"/>
    <mergeCell ref="H19:L19"/>
    <mergeCell ref="H20:L20"/>
    <mergeCell ref="H22:L22"/>
    <mergeCell ref="H24:L24"/>
    <mergeCell ref="H23:L23"/>
    <mergeCell ref="A1:L1"/>
    <mergeCell ref="C11:E11"/>
    <mergeCell ref="H12:L12"/>
    <mergeCell ref="H15:L15"/>
    <mergeCell ref="H16:L16"/>
    <mergeCell ref="B3:C3"/>
    <mergeCell ref="B15:B16"/>
    <mergeCell ref="E15:E16"/>
    <mergeCell ref="C15:C16"/>
    <mergeCell ref="A38:L38"/>
    <mergeCell ref="H25:L25"/>
    <mergeCell ref="H30:L30"/>
    <mergeCell ref="H31:L31"/>
    <mergeCell ref="H33:L33"/>
    <mergeCell ref="H34:L34"/>
    <mergeCell ref="H35:K35"/>
    <mergeCell ref="H27:L27"/>
    <mergeCell ref="H28:L28"/>
  </mergeCells>
  <conditionalFormatting sqref="B22:L22">
    <cfRule type="containsBlanks" dxfId="24" priority="1">
      <formula>LEN(TRIM(B22))=0</formula>
    </cfRule>
  </conditionalFormatting>
  <conditionalFormatting sqref="C22">
    <cfRule type="containsBlanks" priority="5">
      <formula>LEN(TRIM(C22))=0</formula>
    </cfRule>
  </conditionalFormatting>
  <pageMargins left="0.7" right="0.7" top="0.75" bottom="0.75" header="0.3" footer="0.3"/>
  <pageSetup paperSize="9" scale="66" orientation="landscape" r:id="rId1"/>
  <ignoredErrors>
    <ignoredError sqref="E29 E21 E32"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75"/>
  <sheetViews>
    <sheetView zoomScaleNormal="100" zoomScaleSheetLayoutView="85" workbookViewId="0">
      <pane ySplit="6" topLeftCell="A7" activePane="bottomLeft" state="frozen"/>
      <selection pane="bottomLeft" activeCell="K8" sqref="K8"/>
    </sheetView>
  </sheetViews>
  <sheetFormatPr defaultColWidth="9.140625" defaultRowHeight="14.25" x14ac:dyDescent="0.2"/>
  <cols>
    <col min="1" max="1" width="5.7109375" style="157" customWidth="1"/>
    <col min="2" max="2" width="30.7109375" style="157" customWidth="1"/>
    <col min="3" max="4" width="20.7109375" style="205" customWidth="1"/>
    <col min="5" max="5" width="20.7109375" style="157" customWidth="1"/>
    <col min="6" max="8" width="10.7109375" style="157" customWidth="1"/>
    <col min="9" max="9" width="20.7109375" style="157" customWidth="1"/>
    <col min="10" max="12" width="15.7109375" style="157" customWidth="1"/>
    <col min="13" max="13" width="30.7109375" style="157" customWidth="1"/>
    <col min="14" max="16384" width="9.140625" style="157"/>
  </cols>
  <sheetData>
    <row r="1" spans="1:18" ht="14.25" customHeight="1" x14ac:dyDescent="0.25">
      <c r="A1" s="3" t="s">
        <v>31</v>
      </c>
      <c r="B1" s="7"/>
      <c r="C1" s="207"/>
      <c r="D1" s="207"/>
      <c r="E1" s="207"/>
      <c r="F1" s="1"/>
      <c r="G1" s="1"/>
      <c r="H1" s="1"/>
      <c r="I1" s="1"/>
      <c r="J1" s="1"/>
      <c r="K1" s="1"/>
      <c r="L1" s="1"/>
      <c r="M1" s="207"/>
    </row>
    <row r="2" spans="1:18" ht="14.25" customHeight="1" x14ac:dyDescent="0.2">
      <c r="A2" s="1"/>
      <c r="B2" s="207"/>
      <c r="C2" s="207"/>
      <c r="D2" s="207"/>
      <c r="E2" s="207"/>
      <c r="F2" s="1"/>
      <c r="G2" s="1"/>
      <c r="H2" s="1"/>
      <c r="I2" s="1"/>
      <c r="J2" s="1"/>
      <c r="K2" s="1"/>
      <c r="L2" s="1"/>
      <c r="M2" s="207"/>
    </row>
    <row r="3" spans="1:18" ht="14.25" customHeight="1" x14ac:dyDescent="0.25">
      <c r="A3" s="3" t="s">
        <v>145</v>
      </c>
      <c r="B3" s="7"/>
      <c r="C3" s="207"/>
      <c r="D3" s="207"/>
      <c r="E3" s="207"/>
      <c r="F3" s="1"/>
      <c r="G3" s="1"/>
      <c r="H3" s="1"/>
      <c r="I3" s="1"/>
      <c r="J3" s="1"/>
      <c r="K3" s="1"/>
      <c r="L3" s="1"/>
      <c r="M3" s="207"/>
    </row>
    <row r="4" spans="1:18" ht="14.25" customHeight="1" x14ac:dyDescent="0.25">
      <c r="A4" s="3"/>
      <c r="B4" s="7"/>
      <c r="C4" s="207"/>
      <c r="D4" s="207"/>
      <c r="E4" s="207"/>
      <c r="F4" s="1"/>
      <c r="G4" s="1"/>
      <c r="H4" s="1"/>
      <c r="I4" s="1"/>
      <c r="J4" s="1"/>
      <c r="K4" s="1"/>
      <c r="L4" s="1"/>
      <c r="M4" s="207"/>
    </row>
    <row r="5" spans="1:18" ht="28.5" customHeight="1" x14ac:dyDescent="0.2">
      <c r="A5" s="8" t="s">
        <v>32</v>
      </c>
      <c r="B5" s="26" t="s">
        <v>64</v>
      </c>
      <c r="C5" s="9" t="s">
        <v>60</v>
      </c>
      <c r="D5" s="9" t="s">
        <v>34</v>
      </c>
      <c r="E5" s="9" t="s">
        <v>70</v>
      </c>
      <c r="F5" s="9" t="s">
        <v>35</v>
      </c>
      <c r="G5" s="9" t="s">
        <v>36</v>
      </c>
      <c r="H5" s="9" t="s">
        <v>37</v>
      </c>
      <c r="I5" s="9" t="s">
        <v>71</v>
      </c>
      <c r="J5" s="9" t="s">
        <v>57</v>
      </c>
      <c r="K5" s="9" t="s">
        <v>74</v>
      </c>
      <c r="L5" s="9" t="s">
        <v>38</v>
      </c>
      <c r="M5" s="9" t="s">
        <v>153</v>
      </c>
    </row>
    <row r="6" spans="1:18" ht="14.25" customHeight="1" x14ac:dyDescent="0.2">
      <c r="A6" s="29"/>
      <c r="B6" s="27"/>
      <c r="C6" s="10"/>
      <c r="D6" s="10"/>
      <c r="E6" s="11" t="s">
        <v>129</v>
      </c>
      <c r="F6" s="11" t="s">
        <v>12</v>
      </c>
      <c r="G6" s="11" t="s">
        <v>12</v>
      </c>
      <c r="H6" s="11" t="s">
        <v>12</v>
      </c>
      <c r="I6" s="11" t="s">
        <v>129</v>
      </c>
      <c r="J6" s="11" t="s">
        <v>39</v>
      </c>
      <c r="K6" s="11" t="s">
        <v>40</v>
      </c>
      <c r="L6" s="11" t="s">
        <v>12</v>
      </c>
      <c r="M6" s="10"/>
    </row>
    <row r="7" spans="1:18" ht="14.25" customHeight="1" x14ac:dyDescent="0.2">
      <c r="A7" s="28" t="s">
        <v>44</v>
      </c>
      <c r="B7" s="12" t="s">
        <v>45</v>
      </c>
      <c r="C7" s="14"/>
      <c r="D7" s="14"/>
      <c r="E7" s="14"/>
      <c r="F7" s="13"/>
      <c r="G7" s="13"/>
      <c r="H7" s="13"/>
      <c r="I7" s="13"/>
      <c r="J7" s="13"/>
      <c r="K7" s="13"/>
      <c r="L7" s="13"/>
      <c r="M7" s="123"/>
    </row>
    <row r="8" spans="1:18" ht="14.25" customHeight="1" x14ac:dyDescent="0.2">
      <c r="A8" s="120" t="s">
        <v>215</v>
      </c>
      <c r="B8" s="216" t="s">
        <v>207</v>
      </c>
      <c r="C8" s="227" t="s">
        <v>220</v>
      </c>
      <c r="D8" s="139" t="s">
        <v>206</v>
      </c>
      <c r="E8" s="139" t="s">
        <v>230</v>
      </c>
      <c r="F8" s="220" t="s">
        <v>179</v>
      </c>
      <c r="G8" s="220" t="s">
        <v>221</v>
      </c>
      <c r="H8" s="221" t="s">
        <v>182</v>
      </c>
      <c r="I8" s="218" t="s">
        <v>231</v>
      </c>
      <c r="J8" s="222">
        <f>SUM(F8:H8)</f>
        <v>0</v>
      </c>
      <c r="K8" s="313" t="s">
        <v>181</v>
      </c>
      <c r="L8" s="223" t="e">
        <f>J8*K8%</f>
        <v>#VALUE!</v>
      </c>
      <c r="M8" s="218" t="s">
        <v>184</v>
      </c>
      <c r="O8" s="152"/>
      <c r="P8" s="153"/>
      <c r="Q8" s="153"/>
      <c r="R8" s="153"/>
    </row>
    <row r="9" spans="1:18" ht="14.25" customHeight="1" x14ac:dyDescent="0.2">
      <c r="A9" s="21"/>
      <c r="B9" s="125"/>
      <c r="C9" s="15"/>
      <c r="D9" s="15"/>
      <c r="E9" s="15"/>
      <c r="F9" s="16"/>
      <c r="G9" s="16"/>
      <c r="H9" s="16"/>
      <c r="I9" s="17" t="s">
        <v>46</v>
      </c>
      <c r="J9" s="226">
        <f>SUM(J8:J8)</f>
        <v>0</v>
      </c>
      <c r="K9" s="18"/>
      <c r="L9" s="282" t="e">
        <f>SUM(L8:L8)</f>
        <v>#VALUE!</v>
      </c>
      <c r="M9" s="19"/>
      <c r="O9" s="154"/>
      <c r="P9" s="1"/>
      <c r="Q9" s="1"/>
      <c r="R9" s="1"/>
    </row>
    <row r="10" spans="1:18" ht="14.25" customHeight="1" x14ac:dyDescent="0.2">
      <c r="A10" s="28"/>
      <c r="B10" s="43" t="s">
        <v>41</v>
      </c>
      <c r="C10" s="14"/>
      <c r="D10" s="14"/>
      <c r="E10" s="14"/>
      <c r="F10" s="13"/>
      <c r="G10" s="13"/>
      <c r="H10" s="13"/>
      <c r="I10" s="13"/>
      <c r="J10" s="13"/>
      <c r="K10" s="13"/>
      <c r="L10" s="13"/>
      <c r="M10" s="124"/>
      <c r="O10" s="1"/>
      <c r="P10" s="1"/>
      <c r="Q10" s="1"/>
      <c r="R10" s="1"/>
    </row>
    <row r="11" spans="1:18" ht="14.25" customHeight="1" x14ac:dyDescent="0.2">
      <c r="A11" s="120" t="s">
        <v>215</v>
      </c>
      <c r="B11" s="216" t="s">
        <v>207</v>
      </c>
      <c r="C11" s="139" t="s">
        <v>220</v>
      </c>
      <c r="D11" s="139" t="s">
        <v>206</v>
      </c>
      <c r="E11" s="118" t="s">
        <v>230</v>
      </c>
      <c r="F11" s="220" t="s">
        <v>179</v>
      </c>
      <c r="G11" s="217"/>
      <c r="H11" s="221" t="s">
        <v>182</v>
      </c>
      <c r="I11" s="218" t="s">
        <v>231</v>
      </c>
      <c r="J11" s="222" t="e">
        <f>F11+H11</f>
        <v>#VALUE!</v>
      </c>
      <c r="K11" s="314" t="s">
        <v>181</v>
      </c>
      <c r="L11" s="223" t="e">
        <f>J11*K11%</f>
        <v>#VALUE!</v>
      </c>
      <c r="M11" s="308" t="s">
        <v>184</v>
      </c>
      <c r="O11" s="155"/>
      <c r="P11" s="1"/>
      <c r="Q11" s="1"/>
      <c r="R11" s="1"/>
    </row>
    <row r="12" spans="1:18" ht="14.25" customHeight="1" x14ac:dyDescent="0.2">
      <c r="A12" s="21"/>
      <c r="B12" s="125"/>
      <c r="C12" s="125"/>
      <c r="D12" s="22"/>
      <c r="E12" s="22"/>
      <c r="F12" s="23"/>
      <c r="G12" s="23"/>
      <c r="H12" s="23"/>
      <c r="I12" s="24" t="s">
        <v>47</v>
      </c>
      <c r="J12" s="307" t="s">
        <v>217</v>
      </c>
      <c r="K12" s="217"/>
      <c r="L12" s="224" t="s">
        <v>218</v>
      </c>
      <c r="M12" s="19"/>
      <c r="P12" s="155"/>
      <c r="Q12" s="155"/>
      <c r="R12" s="155"/>
    </row>
    <row r="13" spans="1:18" ht="14.25" customHeight="1" x14ac:dyDescent="0.2">
      <c r="A13" s="2" t="s">
        <v>154</v>
      </c>
      <c r="B13" s="126"/>
      <c r="C13" s="126"/>
      <c r="D13" s="126"/>
      <c r="E13" s="126"/>
      <c r="F13" s="122"/>
      <c r="G13" s="122"/>
      <c r="H13" s="122"/>
      <c r="I13" s="122"/>
      <c r="J13" s="122"/>
      <c r="K13" s="122"/>
      <c r="L13" s="122"/>
      <c r="M13" s="126"/>
    </row>
    <row r="14" spans="1:18" ht="14.25" customHeight="1" x14ac:dyDescent="0.2">
      <c r="A14" s="2"/>
      <c r="B14" s="126"/>
      <c r="C14" s="126"/>
      <c r="D14" s="126"/>
      <c r="E14" s="126"/>
      <c r="F14" s="122"/>
      <c r="G14" s="122"/>
      <c r="H14" s="122"/>
      <c r="I14" s="122"/>
      <c r="J14" s="122"/>
      <c r="K14" s="122"/>
      <c r="L14" s="122"/>
      <c r="M14" s="126"/>
    </row>
    <row r="15" spans="1:18" s="144" customFormat="1" ht="14.25" customHeight="1" x14ac:dyDescent="0.25">
      <c r="B15" s="130" t="s">
        <v>42</v>
      </c>
      <c r="C15" s="114" t="s">
        <v>57</v>
      </c>
      <c r="D15" s="114" t="s">
        <v>10</v>
      </c>
      <c r="F15" s="135"/>
      <c r="G15" s="115"/>
      <c r="H15" s="135"/>
      <c r="I15" s="135"/>
      <c r="J15" s="135"/>
      <c r="K15" s="135"/>
      <c r="L15" s="135"/>
      <c r="M15" s="136"/>
      <c r="O15" s="219"/>
    </row>
    <row r="16" spans="1:18" s="144" customFormat="1" ht="14.25" customHeight="1" x14ac:dyDescent="0.25">
      <c r="B16" s="151" t="s">
        <v>43</v>
      </c>
      <c r="C16" s="309" t="e">
        <f>J9+J12</f>
        <v>#VALUE!</v>
      </c>
      <c r="D16" s="225" t="e">
        <f>L9+L12</f>
        <v>#VALUE!</v>
      </c>
      <c r="F16" s="135"/>
      <c r="G16" s="116"/>
      <c r="H16" s="135"/>
      <c r="I16" s="135"/>
      <c r="J16" s="135"/>
      <c r="K16" s="135"/>
      <c r="L16" s="135"/>
      <c r="M16" s="136"/>
    </row>
    <row r="17" spans="1:13" ht="14.25" customHeight="1" x14ac:dyDescent="0.2">
      <c r="A17" s="1"/>
      <c r="B17" s="117"/>
      <c r="C17" s="117"/>
      <c r="D17" s="117"/>
      <c r="E17" s="1"/>
      <c r="F17" s="1"/>
      <c r="G17" s="1"/>
      <c r="H17" s="1"/>
      <c r="I17" s="1"/>
      <c r="J17" s="1"/>
      <c r="K17" s="1"/>
      <c r="L17" s="1"/>
      <c r="M17" s="207"/>
    </row>
    <row r="18" spans="1:13" ht="14.25" customHeight="1" x14ac:dyDescent="0.25">
      <c r="A18" s="157" t="s">
        <v>121</v>
      </c>
      <c r="B18" s="205"/>
      <c r="M18" s="205"/>
    </row>
    <row r="19" spans="1:13" ht="14.25" customHeight="1" x14ac:dyDescent="0.2">
      <c r="A19" s="358" t="s">
        <v>146</v>
      </c>
      <c r="B19" s="358"/>
      <c r="C19" s="358"/>
      <c r="D19" s="358"/>
      <c r="E19" s="358"/>
      <c r="F19" s="358"/>
      <c r="G19" s="358"/>
      <c r="H19" s="358"/>
      <c r="I19" s="358"/>
      <c r="J19" s="358"/>
      <c r="K19" s="358"/>
      <c r="L19" s="358"/>
      <c r="M19" s="358"/>
    </row>
    <row r="20" spans="1:13" ht="28.5" customHeight="1" x14ac:dyDescent="0.2">
      <c r="A20" s="357" t="s">
        <v>143</v>
      </c>
      <c r="B20" s="357"/>
      <c r="C20" s="357"/>
      <c r="D20" s="357"/>
      <c r="E20" s="357"/>
      <c r="F20" s="357"/>
      <c r="G20" s="357"/>
      <c r="H20" s="357"/>
      <c r="I20" s="357"/>
      <c r="J20" s="357"/>
      <c r="K20" s="357"/>
      <c r="L20" s="357"/>
      <c r="M20" s="357"/>
    </row>
    <row r="21" spans="1:13" s="205" customFormat="1" ht="28.5" customHeight="1" x14ac:dyDescent="0.2">
      <c r="A21" s="357" t="s">
        <v>155</v>
      </c>
      <c r="B21" s="357"/>
      <c r="C21" s="357"/>
      <c r="D21" s="357"/>
      <c r="E21" s="357"/>
      <c r="F21" s="357"/>
      <c r="G21" s="357"/>
      <c r="H21" s="357"/>
      <c r="I21" s="357"/>
      <c r="J21" s="357"/>
      <c r="K21" s="357"/>
      <c r="L21" s="357"/>
      <c r="M21" s="357"/>
    </row>
    <row r="22" spans="1:13" ht="14.25" customHeight="1" x14ac:dyDescent="0.2">
      <c r="A22" s="356" t="s">
        <v>172</v>
      </c>
      <c r="B22" s="356"/>
      <c r="C22" s="356"/>
      <c r="D22" s="356"/>
      <c r="E22" s="356"/>
      <c r="F22" s="356"/>
      <c r="G22" s="356"/>
      <c r="H22" s="356"/>
      <c r="I22" s="356"/>
      <c r="J22" s="356"/>
      <c r="K22" s="356"/>
      <c r="L22" s="356"/>
      <c r="M22" s="356"/>
    </row>
    <row r="23" spans="1:13" ht="28.5" customHeight="1" x14ac:dyDescent="0.2">
      <c r="A23" s="359" t="s">
        <v>169</v>
      </c>
      <c r="B23" s="359"/>
      <c r="C23" s="359"/>
      <c r="D23" s="359"/>
      <c r="E23" s="359"/>
      <c r="F23" s="359"/>
      <c r="G23" s="359"/>
      <c r="H23" s="359"/>
      <c r="I23" s="359"/>
      <c r="J23" s="359"/>
      <c r="K23" s="359"/>
      <c r="L23" s="359"/>
      <c r="M23" s="359"/>
    </row>
    <row r="24" spans="1:13" ht="14.25" customHeight="1" x14ac:dyDescent="0.2">
      <c r="A24" s="356" t="s">
        <v>144</v>
      </c>
      <c r="B24" s="356"/>
      <c r="C24" s="356"/>
      <c r="D24" s="356"/>
      <c r="E24" s="356"/>
      <c r="F24" s="356"/>
      <c r="G24" s="356"/>
      <c r="H24" s="356"/>
      <c r="I24" s="356"/>
      <c r="J24" s="356"/>
      <c r="K24" s="356"/>
      <c r="L24" s="356"/>
      <c r="M24" s="356"/>
    </row>
    <row r="25" spans="1:13" ht="14.25" customHeight="1" x14ac:dyDescent="0.2"/>
    <row r="26" spans="1:13" ht="14.25" customHeight="1" x14ac:dyDescent="0.2"/>
    <row r="27" spans="1:13" ht="14.25" customHeight="1" x14ac:dyDescent="0.2"/>
    <row r="28" spans="1:13" ht="14.25" customHeight="1" x14ac:dyDescent="0.2"/>
    <row r="29" spans="1:13" ht="14.25" customHeight="1" x14ac:dyDescent="0.2"/>
    <row r="30" spans="1:13" ht="14.25" customHeight="1" x14ac:dyDescent="0.2"/>
    <row r="31" spans="1:13" ht="14.25" customHeight="1" x14ac:dyDescent="0.2"/>
    <row r="32" spans="1:1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sheetData>
  <mergeCells count="6">
    <mergeCell ref="A24:M24"/>
    <mergeCell ref="A20:M20"/>
    <mergeCell ref="A19:M19"/>
    <mergeCell ref="A21:M21"/>
    <mergeCell ref="A22:M22"/>
    <mergeCell ref="A23:M23"/>
  </mergeCells>
  <conditionalFormatting sqref="C8">
    <cfRule type="notContainsErrors" dxfId="23" priority="1">
      <formula>NOT(ISERROR(C8))</formula>
    </cfRule>
  </conditionalFormatting>
  <conditionalFormatting sqref="E8">
    <cfRule type="containsBlanks" dxfId="22" priority="4">
      <formula>LEN(TRIM(E8))=0</formula>
    </cfRule>
  </conditionalFormatting>
  <conditionalFormatting sqref="E11">
    <cfRule type="notContainsErrors" dxfId="21" priority="6">
      <formula>NOT(ISERROR(E11))</formula>
    </cfRule>
  </conditionalFormatting>
  <conditionalFormatting sqref="G8">
    <cfRule type="cellIs" dxfId="20" priority="3" operator="equal">
      <formula>" "</formula>
    </cfRule>
  </conditionalFormatting>
  <printOptions horizontalCentered="1"/>
  <pageMargins left="0.23622047244094491" right="0.23622047244094491" top="0.55118110236220474" bottom="0.55118110236220474" header="0.31496062992125984" footer="0.31496062992125984"/>
  <pageSetup paperSize="9" scale="62"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5"/>
  <sheetViews>
    <sheetView zoomScale="85" zoomScaleNormal="85" zoomScaleSheetLayoutView="85" workbookViewId="0">
      <pane ySplit="4" topLeftCell="A5" activePane="bottomLeft" state="frozen"/>
      <selection pane="bottomLeft" activeCell="I6" sqref="I6"/>
    </sheetView>
  </sheetViews>
  <sheetFormatPr defaultColWidth="9.140625" defaultRowHeight="14.25" x14ac:dyDescent="0.2"/>
  <cols>
    <col min="1" max="1" width="5.7109375" style="157" customWidth="1"/>
    <col min="2" max="2" width="40.7109375" style="157" customWidth="1"/>
    <col min="3" max="8" width="15.7109375" style="157" customWidth="1"/>
    <col min="9" max="9" width="30.7109375" style="157" customWidth="1"/>
    <col min="10" max="10" width="14.42578125" style="157" customWidth="1"/>
    <col min="11" max="11" width="34" style="157" customWidth="1"/>
    <col min="12" max="16384" width="9.140625" style="157"/>
  </cols>
  <sheetData>
    <row r="1" spans="1:11" ht="15" x14ac:dyDescent="0.25">
      <c r="A1" s="3" t="s">
        <v>15</v>
      </c>
      <c r="B1" s="207"/>
      <c r="C1" s="1"/>
      <c r="D1" s="1"/>
      <c r="E1" s="1"/>
      <c r="F1" s="1"/>
      <c r="G1" s="1"/>
      <c r="H1" s="1"/>
      <c r="I1" s="1"/>
      <c r="J1" s="1"/>
      <c r="K1" s="207"/>
    </row>
    <row r="2" spans="1:11" x14ac:dyDescent="0.2">
      <c r="A2" s="1"/>
      <c r="B2" s="207"/>
      <c r="C2" s="1"/>
      <c r="D2" s="1"/>
      <c r="E2" s="1"/>
      <c r="F2" s="1"/>
      <c r="G2" s="1"/>
      <c r="H2" s="1"/>
      <c r="I2" s="1"/>
      <c r="J2" s="1"/>
      <c r="K2" s="207"/>
    </row>
    <row r="3" spans="1:11" ht="24" x14ac:dyDescent="0.2">
      <c r="A3" s="4" t="s">
        <v>32</v>
      </c>
      <c r="B3" s="30" t="s">
        <v>33</v>
      </c>
      <c r="C3" s="201" t="s">
        <v>133</v>
      </c>
      <c r="D3" s="201" t="s">
        <v>48</v>
      </c>
      <c r="E3" s="201" t="s">
        <v>80</v>
      </c>
      <c r="F3" s="201" t="s">
        <v>57</v>
      </c>
      <c r="G3" s="201" t="s">
        <v>74</v>
      </c>
      <c r="H3" s="201" t="s">
        <v>38</v>
      </c>
      <c r="I3" s="9" t="s">
        <v>153</v>
      </c>
    </row>
    <row r="4" spans="1:11" x14ac:dyDescent="0.2">
      <c r="A4" s="31"/>
      <c r="B4" s="32"/>
      <c r="C4" s="29" t="s">
        <v>61</v>
      </c>
      <c r="D4" s="29" t="s">
        <v>12</v>
      </c>
      <c r="E4" s="29"/>
      <c r="F4" s="29" t="s">
        <v>39</v>
      </c>
      <c r="G4" s="29" t="s">
        <v>40</v>
      </c>
      <c r="H4" s="29" t="s">
        <v>12</v>
      </c>
      <c r="I4" s="33"/>
    </row>
    <row r="5" spans="1:11" s="144" customFormat="1" ht="24" x14ac:dyDescent="0.25">
      <c r="A5" s="120" t="s">
        <v>183</v>
      </c>
      <c r="B5" s="143" t="s">
        <v>184</v>
      </c>
      <c r="C5" s="303" t="s">
        <v>185</v>
      </c>
      <c r="D5" s="131" t="s">
        <v>186</v>
      </c>
      <c r="E5" s="132"/>
      <c r="F5" s="133" t="s">
        <v>188</v>
      </c>
      <c r="G5" s="310" t="s">
        <v>181</v>
      </c>
      <c r="H5" s="238" t="e">
        <f>F5*G5%</f>
        <v>#VALUE!</v>
      </c>
      <c r="I5" s="137" t="s">
        <v>184</v>
      </c>
    </row>
    <row r="6" spans="1:11" x14ac:dyDescent="0.2">
      <c r="A6" s="21"/>
      <c r="B6" s="127"/>
      <c r="C6" s="138"/>
      <c r="D6" s="36"/>
      <c r="E6" s="128" t="s">
        <v>99</v>
      </c>
      <c r="F6" s="318">
        <f>SUM(F5:F5)</f>
        <v>0</v>
      </c>
      <c r="G6" s="37"/>
      <c r="H6" s="319" t="e">
        <f>SUM(H5:H5)</f>
        <v>#VALUE!</v>
      </c>
      <c r="I6" s="38"/>
    </row>
    <row r="7" spans="1:11" x14ac:dyDescent="0.2">
      <c r="A7" s="2" t="s">
        <v>156</v>
      </c>
      <c r="B7" s="126"/>
      <c r="C7" s="122"/>
      <c r="D7" s="122"/>
      <c r="E7" s="122"/>
      <c r="F7" s="122"/>
      <c r="G7" s="122"/>
      <c r="H7" s="122"/>
      <c r="I7" s="122"/>
      <c r="J7" s="122"/>
      <c r="K7" s="126"/>
    </row>
    <row r="8" spans="1:11" x14ac:dyDescent="0.2">
      <c r="A8" s="2"/>
      <c r="B8" s="126"/>
      <c r="C8" s="122"/>
      <c r="D8" s="122"/>
      <c r="E8" s="122"/>
      <c r="F8" s="122"/>
      <c r="G8" s="122"/>
      <c r="H8" s="122"/>
      <c r="I8" s="122"/>
      <c r="J8" s="122"/>
      <c r="K8" s="126"/>
    </row>
    <row r="9" spans="1:11" s="144" customFormat="1" x14ac:dyDescent="0.25">
      <c r="A9" s="135"/>
      <c r="B9" s="130" t="s">
        <v>42</v>
      </c>
      <c r="C9" s="360" t="s">
        <v>57</v>
      </c>
      <c r="D9" s="361"/>
      <c r="E9" s="360" t="s">
        <v>10</v>
      </c>
      <c r="F9" s="361"/>
      <c r="G9" s="135"/>
      <c r="H9" s="135"/>
      <c r="I9" s="135"/>
      <c r="J9" s="135"/>
      <c r="K9" s="136"/>
    </row>
    <row r="10" spans="1:11" s="144" customFormat="1" x14ac:dyDescent="0.25">
      <c r="A10" s="135"/>
      <c r="B10" s="130" t="s">
        <v>16</v>
      </c>
      <c r="C10" s="362">
        <f>F6</f>
        <v>0</v>
      </c>
      <c r="D10" s="363"/>
      <c r="E10" s="362" t="e">
        <f>H6</f>
        <v>#VALUE!</v>
      </c>
      <c r="F10" s="363"/>
      <c r="G10" s="135"/>
      <c r="H10" s="135"/>
      <c r="I10" s="135"/>
      <c r="J10" s="135"/>
      <c r="K10" s="136"/>
    </row>
    <row r="11" spans="1:11" x14ac:dyDescent="0.2">
      <c r="A11" s="122"/>
      <c r="B11" s="122"/>
      <c r="C11" s="122"/>
      <c r="D11" s="122"/>
      <c r="E11" s="39"/>
      <c r="F11" s="122"/>
      <c r="G11" s="122"/>
      <c r="H11" s="122"/>
      <c r="I11" s="122"/>
      <c r="J11" s="122"/>
      <c r="K11" s="126"/>
    </row>
    <row r="12" spans="1:11" ht="15" x14ac:dyDescent="0.25">
      <c r="A12" s="3" t="s">
        <v>54</v>
      </c>
    </row>
    <row r="13" spans="1:11" ht="29.25" customHeight="1" x14ac:dyDescent="0.2">
      <c r="A13" s="359" t="s">
        <v>135</v>
      </c>
      <c r="B13" s="359"/>
      <c r="C13" s="359"/>
      <c r="D13" s="359"/>
      <c r="E13" s="359"/>
      <c r="F13" s="359"/>
      <c r="G13" s="359"/>
      <c r="H13" s="359"/>
      <c r="I13" s="359"/>
      <c r="J13" s="205"/>
      <c r="K13" s="205"/>
    </row>
    <row r="14" spans="1:11" ht="14.25" customHeight="1" x14ac:dyDescent="0.2">
      <c r="A14" s="359" t="s">
        <v>174</v>
      </c>
      <c r="B14" s="359"/>
      <c r="C14" s="359"/>
      <c r="D14" s="359"/>
      <c r="E14" s="359"/>
      <c r="F14" s="359"/>
      <c r="G14" s="359"/>
      <c r="H14" s="359"/>
      <c r="I14" s="359"/>
      <c r="J14" s="205"/>
      <c r="K14" s="205"/>
    </row>
    <row r="15" spans="1:11" ht="28.5" customHeight="1" x14ac:dyDescent="0.2">
      <c r="A15" s="359" t="s">
        <v>175</v>
      </c>
      <c r="B15" s="359"/>
      <c r="C15" s="359"/>
      <c r="D15" s="359"/>
      <c r="E15" s="359"/>
      <c r="F15" s="359"/>
      <c r="G15" s="359"/>
      <c r="H15" s="359"/>
      <c r="I15" s="359"/>
      <c r="J15" s="205"/>
      <c r="K15" s="205"/>
    </row>
  </sheetData>
  <mergeCells count="7">
    <mergeCell ref="A14:I14"/>
    <mergeCell ref="A15:I15"/>
    <mergeCell ref="E9:F9"/>
    <mergeCell ref="C9:D9"/>
    <mergeCell ref="C10:D10"/>
    <mergeCell ref="E10:F10"/>
    <mergeCell ref="A13:I13"/>
  </mergeCells>
  <printOptions horizontalCentered="1"/>
  <pageMargins left="0.23622047244094491" right="0.23622047244094491" top="0.55118110236220474" bottom="0.55118110236220474" header="0.31496062992125984" footer="0.31496062992125984"/>
  <pageSetup paperSize="9" scale="83" fitToHeight="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50"/>
  <sheetViews>
    <sheetView topLeftCell="A36" zoomScale="85" zoomScaleNormal="85" zoomScaleSheetLayoutView="85" workbookViewId="0">
      <selection activeCell="I8" sqref="I8"/>
    </sheetView>
  </sheetViews>
  <sheetFormatPr defaultColWidth="9.140625" defaultRowHeight="14.25" x14ac:dyDescent="0.2"/>
  <cols>
    <col min="1" max="1" width="5.7109375" style="157" customWidth="1"/>
    <col min="2" max="2" width="40.7109375" style="157" customWidth="1"/>
    <col min="3" max="8" width="15.7109375" style="157" customWidth="1"/>
    <col min="9" max="9" width="30.7109375" style="157" customWidth="1"/>
    <col min="10" max="10" width="34.7109375" style="203" customWidth="1"/>
    <col min="11" max="16384" width="9.140625" style="157"/>
  </cols>
  <sheetData>
    <row r="1" spans="1:10" ht="15" x14ac:dyDescent="0.25">
      <c r="A1" s="40" t="s">
        <v>51</v>
      </c>
      <c r="B1" s="207"/>
      <c r="C1" s="1"/>
      <c r="D1" s="1"/>
      <c r="E1" s="1"/>
      <c r="F1" s="1"/>
      <c r="G1" s="1"/>
      <c r="H1" s="207"/>
      <c r="I1" s="1"/>
      <c r="J1" s="208"/>
    </row>
    <row r="2" spans="1:10" x14ac:dyDescent="0.2">
      <c r="A2" s="1"/>
      <c r="B2" s="207"/>
      <c r="C2" s="1"/>
      <c r="D2" s="1"/>
      <c r="E2" s="1"/>
      <c r="F2" s="1"/>
      <c r="G2" s="1"/>
      <c r="H2" s="207"/>
      <c r="I2" s="1"/>
      <c r="J2" s="208"/>
    </row>
    <row r="3" spans="1:10" ht="15" x14ac:dyDescent="0.25">
      <c r="A3" s="3" t="s">
        <v>52</v>
      </c>
      <c r="B3" s="207"/>
      <c r="C3" s="1"/>
      <c r="D3" s="1"/>
      <c r="E3" s="1"/>
      <c r="F3" s="1"/>
      <c r="G3" s="1"/>
      <c r="H3" s="207"/>
      <c r="I3" s="1"/>
      <c r="J3" s="208"/>
    </row>
    <row r="4" spans="1:10" x14ac:dyDescent="0.2">
      <c r="A4" s="1"/>
      <c r="B4" s="207"/>
      <c r="C4" s="1"/>
      <c r="D4" s="1"/>
      <c r="E4" s="1"/>
      <c r="F4" s="1"/>
      <c r="G4" s="1"/>
      <c r="H4" s="207"/>
      <c r="I4" s="1"/>
      <c r="J4" s="208"/>
    </row>
    <row r="5" spans="1:10" ht="24" x14ac:dyDescent="0.2">
      <c r="A5" s="4" t="s">
        <v>32</v>
      </c>
      <c r="B5" s="199" t="s">
        <v>33</v>
      </c>
      <c r="C5" s="201" t="s">
        <v>133</v>
      </c>
      <c r="D5" s="201" t="s">
        <v>48</v>
      </c>
      <c r="E5" s="201" t="s">
        <v>80</v>
      </c>
      <c r="F5" s="201" t="s">
        <v>57</v>
      </c>
      <c r="G5" s="201" t="s">
        <v>75</v>
      </c>
      <c r="H5" s="201" t="s">
        <v>38</v>
      </c>
      <c r="I5" s="9" t="s">
        <v>153</v>
      </c>
      <c r="J5" s="157"/>
    </row>
    <row r="6" spans="1:10" x14ac:dyDescent="0.2">
      <c r="A6" s="5"/>
      <c r="B6" s="196"/>
      <c r="C6" s="29" t="s">
        <v>61</v>
      </c>
      <c r="D6" s="29" t="s">
        <v>12</v>
      </c>
      <c r="E6" s="29"/>
      <c r="F6" s="29" t="s">
        <v>39</v>
      </c>
      <c r="G6" s="29" t="s">
        <v>40</v>
      </c>
      <c r="H6" s="29" t="s">
        <v>12</v>
      </c>
      <c r="I6" s="45"/>
      <c r="J6" s="157"/>
    </row>
    <row r="7" spans="1:10" s="144" customFormat="1" ht="15" customHeight="1" x14ac:dyDescent="0.25">
      <c r="A7" s="120" t="s">
        <v>183</v>
      </c>
      <c r="B7" s="200" t="s">
        <v>184</v>
      </c>
      <c r="C7" s="304" t="s">
        <v>185</v>
      </c>
      <c r="D7" s="119"/>
      <c r="E7" s="120"/>
      <c r="F7" s="131" t="s">
        <v>188</v>
      </c>
      <c r="G7" s="310" t="s">
        <v>181</v>
      </c>
      <c r="H7" s="238" t="e">
        <f>F7*G7%</f>
        <v>#VALUE!</v>
      </c>
      <c r="I7" s="139" t="s">
        <v>184</v>
      </c>
    </row>
    <row r="8" spans="1:10" x14ac:dyDescent="0.2">
      <c r="A8" s="21"/>
      <c r="B8" s="127"/>
      <c r="C8" s="36"/>
      <c r="D8" s="36"/>
      <c r="E8" s="128" t="s">
        <v>46</v>
      </c>
      <c r="F8" s="316">
        <f>SUM(F7:F7)</f>
        <v>0</v>
      </c>
      <c r="G8" s="37"/>
      <c r="H8" s="245" t="e">
        <f>SUM(H7:H7)</f>
        <v>#VALUE!</v>
      </c>
      <c r="I8" s="46"/>
      <c r="J8" s="157"/>
    </row>
    <row r="9" spans="1:10" x14ac:dyDescent="0.2">
      <c r="A9" s="2" t="s">
        <v>147</v>
      </c>
      <c r="B9" s="207"/>
      <c r="C9" s="1"/>
      <c r="D9" s="1"/>
      <c r="E9" s="1"/>
      <c r="F9" s="1"/>
      <c r="G9" s="1"/>
      <c r="H9" s="207"/>
      <c r="I9" s="1"/>
      <c r="J9" s="208"/>
    </row>
    <row r="10" spans="1:10" x14ac:dyDescent="0.2">
      <c r="A10" s="364"/>
      <c r="B10" s="364"/>
      <c r="C10" s="364"/>
      <c r="D10" s="364"/>
      <c r="E10" s="364"/>
      <c r="F10" s="364"/>
      <c r="G10" s="364"/>
      <c r="H10" s="364"/>
      <c r="I10" s="364"/>
      <c r="J10" s="364"/>
    </row>
    <row r="11" spans="1:10" ht="15" x14ac:dyDescent="0.25">
      <c r="A11" s="3" t="s">
        <v>54</v>
      </c>
    </row>
    <row r="12" spans="1:10" ht="28.5" customHeight="1" x14ac:dyDescent="0.2">
      <c r="A12" s="359" t="s">
        <v>136</v>
      </c>
      <c r="B12" s="359"/>
      <c r="C12" s="359"/>
      <c r="D12" s="359"/>
      <c r="E12" s="359"/>
      <c r="F12" s="359"/>
      <c r="G12" s="359"/>
      <c r="H12" s="359"/>
      <c r="I12" s="359"/>
      <c r="J12" s="205"/>
    </row>
    <row r="13" spans="1:10" ht="14.25" customHeight="1" x14ac:dyDescent="0.2">
      <c r="A13" s="372" t="s">
        <v>142</v>
      </c>
      <c r="B13" s="372"/>
      <c r="C13" s="372"/>
      <c r="D13" s="372"/>
      <c r="E13" s="372"/>
      <c r="F13" s="372"/>
      <c r="G13" s="372"/>
      <c r="H13" s="372"/>
      <c r="I13" s="372"/>
      <c r="J13" s="206"/>
    </row>
    <row r="14" spans="1:10" ht="15" customHeight="1" x14ac:dyDescent="0.2">
      <c r="A14" s="372" t="s">
        <v>157</v>
      </c>
      <c r="B14" s="372"/>
      <c r="C14" s="372"/>
      <c r="D14" s="372"/>
      <c r="E14" s="372"/>
      <c r="F14" s="372"/>
      <c r="G14" s="372"/>
      <c r="H14" s="372"/>
      <c r="I14" s="372"/>
      <c r="J14" s="206"/>
    </row>
    <row r="15" spans="1:10" ht="15" customHeight="1" x14ac:dyDescent="0.2">
      <c r="A15" s="206"/>
      <c r="B15" s="206"/>
      <c r="C15" s="206"/>
      <c r="D15" s="206"/>
      <c r="E15" s="206"/>
      <c r="F15" s="206"/>
      <c r="G15" s="206"/>
      <c r="H15" s="206"/>
      <c r="I15" s="206"/>
      <c r="J15" s="206"/>
    </row>
    <row r="16" spans="1:10" ht="15" customHeight="1" x14ac:dyDescent="0.25">
      <c r="A16" s="3" t="s">
        <v>50</v>
      </c>
      <c r="B16" s="206"/>
      <c r="C16" s="206"/>
      <c r="D16" s="206"/>
      <c r="E16" s="206"/>
      <c r="F16" s="206"/>
      <c r="G16" s="206"/>
      <c r="H16" s="206"/>
      <c r="I16" s="206"/>
      <c r="J16" s="206"/>
    </row>
    <row r="17" spans="1:12" ht="15" customHeight="1" x14ac:dyDescent="0.25">
      <c r="A17" s="3"/>
      <c r="B17" s="206"/>
      <c r="C17" s="206"/>
      <c r="D17" s="206"/>
      <c r="E17" s="206"/>
      <c r="F17" s="206"/>
      <c r="G17" s="206"/>
      <c r="H17" s="206"/>
      <c r="I17" s="206"/>
      <c r="J17" s="206"/>
    </row>
    <row r="18" spans="1:12" ht="24" x14ac:dyDescent="0.2">
      <c r="A18" s="211" t="s">
        <v>32</v>
      </c>
      <c r="B18" s="30" t="s">
        <v>33</v>
      </c>
      <c r="C18" s="210" t="s">
        <v>133</v>
      </c>
      <c r="D18" s="201" t="s">
        <v>48</v>
      </c>
      <c r="E18" s="201" t="s">
        <v>80</v>
      </c>
      <c r="F18" s="201" t="s">
        <v>57</v>
      </c>
      <c r="G18" s="201" t="s">
        <v>74</v>
      </c>
      <c r="H18" s="201" t="s">
        <v>38</v>
      </c>
      <c r="I18" s="9" t="s">
        <v>153</v>
      </c>
      <c r="J18" s="157"/>
    </row>
    <row r="19" spans="1:12" x14ac:dyDescent="0.2">
      <c r="A19" s="212"/>
      <c r="B19" s="32"/>
      <c r="C19" s="195" t="s">
        <v>61</v>
      </c>
      <c r="D19" s="29" t="s">
        <v>12</v>
      </c>
      <c r="E19" s="29"/>
      <c r="F19" s="29" t="s">
        <v>39</v>
      </c>
      <c r="G19" s="29" t="s">
        <v>40</v>
      </c>
      <c r="H19" s="29" t="s">
        <v>12</v>
      </c>
      <c r="I19" s="33"/>
      <c r="J19" s="157"/>
    </row>
    <row r="20" spans="1:12" ht="15" customHeight="1" x14ac:dyDescent="0.2">
      <c r="A20" s="121"/>
      <c r="B20" s="214" t="s">
        <v>49</v>
      </c>
      <c r="C20" s="213"/>
      <c r="D20" s="131"/>
      <c r="E20" s="132"/>
      <c r="F20" s="133">
        <f>D20*E20</f>
        <v>0</v>
      </c>
      <c r="G20" s="134"/>
      <c r="H20" s="133">
        <f>F20*G20</f>
        <v>0</v>
      </c>
      <c r="I20" s="137"/>
      <c r="J20" s="157"/>
    </row>
    <row r="21" spans="1:12" ht="15" customHeight="1" x14ac:dyDescent="0.2">
      <c r="A21" s="121"/>
      <c r="B21" s="6"/>
      <c r="C21" s="213"/>
      <c r="D21" s="131"/>
      <c r="E21" s="132"/>
      <c r="F21" s="133">
        <f>D21*E21</f>
        <v>0</v>
      </c>
      <c r="G21" s="134"/>
      <c r="H21" s="133">
        <f>F21*G21</f>
        <v>0</v>
      </c>
      <c r="I21" s="137"/>
      <c r="J21" s="157"/>
    </row>
    <row r="22" spans="1:12" ht="15" customHeight="1" x14ac:dyDescent="0.2">
      <c r="A22" s="121"/>
      <c r="B22" s="6"/>
      <c r="C22" s="213"/>
      <c r="D22" s="131"/>
      <c r="E22" s="132"/>
      <c r="F22" s="133">
        <f>D22*E22</f>
        <v>0</v>
      </c>
      <c r="G22" s="134"/>
      <c r="H22" s="133">
        <f>F22*G22</f>
        <v>0</v>
      </c>
      <c r="I22" s="137"/>
      <c r="J22" s="157"/>
    </row>
    <row r="23" spans="1:12" ht="15" customHeight="1" x14ac:dyDescent="0.2">
      <c r="A23" s="121"/>
      <c r="B23" s="6"/>
      <c r="C23" s="213"/>
      <c r="D23" s="131"/>
      <c r="E23" s="132"/>
      <c r="F23" s="133">
        <f>D23*E23</f>
        <v>0</v>
      </c>
      <c r="G23" s="134"/>
      <c r="H23" s="133">
        <f>F23*G23</f>
        <v>0</v>
      </c>
      <c r="I23" s="137"/>
      <c r="J23" s="157"/>
    </row>
    <row r="24" spans="1:12" s="144" customFormat="1" ht="15" customHeight="1" x14ac:dyDescent="0.2">
      <c r="A24" s="21"/>
      <c r="B24" s="38"/>
      <c r="C24" s="36"/>
      <c r="D24" s="36"/>
      <c r="E24" s="128" t="s">
        <v>47</v>
      </c>
      <c r="F24" s="316">
        <f>SUM(F20:F23)</f>
        <v>0</v>
      </c>
      <c r="G24" s="37"/>
      <c r="H24" s="316">
        <f>SUM(H20:H23)</f>
        <v>0</v>
      </c>
      <c r="I24" s="38"/>
    </row>
    <row r="25" spans="1:12" x14ac:dyDescent="0.2">
      <c r="A25" s="2" t="s">
        <v>162</v>
      </c>
      <c r="B25" s="1"/>
      <c r="C25" s="1"/>
      <c r="D25" s="1"/>
      <c r="E25" s="1"/>
      <c r="F25" s="1"/>
      <c r="G25" s="1"/>
      <c r="H25" s="207"/>
    </row>
    <row r="26" spans="1:12" x14ac:dyDescent="0.2">
      <c r="A26" s="365"/>
      <c r="B26" s="365"/>
      <c r="C26" s="365"/>
      <c r="D26" s="365"/>
      <c r="E26" s="365"/>
      <c r="F26" s="365"/>
      <c r="G26" s="365"/>
      <c r="H26" s="365"/>
    </row>
    <row r="27" spans="1:12" ht="15" x14ac:dyDescent="0.25">
      <c r="A27" s="3" t="s">
        <v>54</v>
      </c>
    </row>
    <row r="28" spans="1:12" ht="28.5" customHeight="1" x14ac:dyDescent="0.2">
      <c r="A28" s="359" t="s">
        <v>136</v>
      </c>
      <c r="B28" s="359"/>
      <c r="C28" s="359"/>
      <c r="D28" s="359"/>
      <c r="E28" s="359"/>
      <c r="F28" s="359"/>
      <c r="G28" s="359"/>
      <c r="H28" s="359"/>
      <c r="I28" s="359"/>
      <c r="J28" s="205"/>
    </row>
    <row r="29" spans="1:12" ht="14.25" customHeight="1" x14ac:dyDescent="0.2">
      <c r="A29" s="372" t="s">
        <v>142</v>
      </c>
      <c r="B29" s="372"/>
      <c r="C29" s="372"/>
      <c r="D29" s="372"/>
      <c r="E29" s="372"/>
      <c r="F29" s="372"/>
      <c r="G29" s="372"/>
      <c r="H29" s="372"/>
      <c r="I29" s="372"/>
      <c r="J29" s="206"/>
    </row>
    <row r="30" spans="1:12" ht="28.5" customHeight="1" x14ac:dyDescent="0.2">
      <c r="A30" s="359" t="s">
        <v>176</v>
      </c>
      <c r="B30" s="359"/>
      <c r="C30" s="359"/>
      <c r="D30" s="359"/>
      <c r="E30" s="359"/>
      <c r="F30" s="359"/>
      <c r="G30" s="359"/>
      <c r="H30" s="359"/>
      <c r="I30" s="359"/>
      <c r="J30" s="205"/>
    </row>
    <row r="31" spans="1:12" s="144" customFormat="1" ht="15" customHeight="1" x14ac:dyDescent="0.2">
      <c r="A31" s="157"/>
      <c r="B31" s="157"/>
      <c r="C31" s="157"/>
      <c r="D31" s="157"/>
      <c r="E31" s="157"/>
      <c r="F31" s="157"/>
      <c r="G31" s="157"/>
      <c r="H31" s="157"/>
      <c r="I31" s="157"/>
      <c r="J31" s="203"/>
      <c r="K31" s="157"/>
      <c r="L31" s="157"/>
    </row>
    <row r="32" spans="1:12" s="144" customFormat="1" ht="15" customHeight="1" x14ac:dyDescent="0.25">
      <c r="A32" s="3" t="s">
        <v>104</v>
      </c>
      <c r="B32" s="1"/>
      <c r="C32" s="1"/>
      <c r="D32" s="1"/>
      <c r="E32" s="1"/>
      <c r="F32" s="1"/>
      <c r="G32" s="1"/>
      <c r="H32" s="207"/>
      <c r="I32" s="157"/>
      <c r="J32" s="203"/>
      <c r="K32" s="157"/>
      <c r="L32" s="157"/>
    </row>
    <row r="33" spans="1:12" s="144" customFormat="1" ht="15" customHeight="1" x14ac:dyDescent="0.2">
      <c r="A33" s="1"/>
      <c r="B33" s="1"/>
      <c r="C33" s="1"/>
      <c r="D33" s="1"/>
      <c r="E33" s="1"/>
      <c r="F33" s="1"/>
      <c r="G33" s="1"/>
      <c r="H33" s="207"/>
      <c r="I33" s="157"/>
      <c r="J33" s="203"/>
      <c r="K33" s="157"/>
      <c r="L33" s="157"/>
    </row>
    <row r="34" spans="1:12" s="144" customFormat="1" ht="24" customHeight="1" x14ac:dyDescent="0.2">
      <c r="A34" s="4" t="s">
        <v>32</v>
      </c>
      <c r="B34" s="199" t="s">
        <v>33</v>
      </c>
      <c r="C34" s="370" t="s">
        <v>141</v>
      </c>
      <c r="D34" s="371"/>
      <c r="E34" s="201" t="s">
        <v>133</v>
      </c>
      <c r="F34" s="210" t="s">
        <v>57</v>
      </c>
      <c r="G34" s="201" t="s">
        <v>75</v>
      </c>
      <c r="H34" s="209" t="s">
        <v>38</v>
      </c>
      <c r="I34" s="9" t="s">
        <v>153</v>
      </c>
      <c r="J34" s="157"/>
      <c r="K34" s="157"/>
    </row>
    <row r="35" spans="1:12" s="144" customFormat="1" ht="15" customHeight="1" x14ac:dyDescent="0.2">
      <c r="A35" s="5"/>
      <c r="B35" s="196"/>
      <c r="C35" s="366" t="s">
        <v>53</v>
      </c>
      <c r="D35" s="367"/>
      <c r="E35" s="29" t="s">
        <v>61</v>
      </c>
      <c r="F35" s="195" t="s">
        <v>39</v>
      </c>
      <c r="G35" s="29" t="s">
        <v>40</v>
      </c>
      <c r="H35" s="140" t="s">
        <v>12</v>
      </c>
      <c r="I35" s="41"/>
      <c r="J35" s="157"/>
      <c r="K35" s="157"/>
    </row>
    <row r="36" spans="1:12" s="144" customFormat="1" ht="15" customHeight="1" x14ac:dyDescent="0.2">
      <c r="A36" s="120" t="s">
        <v>183</v>
      </c>
      <c r="B36" s="197" t="s">
        <v>184</v>
      </c>
      <c r="C36" s="368"/>
      <c r="D36" s="369"/>
      <c r="E36" s="315" t="s">
        <v>185</v>
      </c>
      <c r="F36" s="129" t="s">
        <v>188</v>
      </c>
      <c r="G36" s="311" t="s">
        <v>181</v>
      </c>
      <c r="H36" s="325" t="e">
        <f>F36*G36%</f>
        <v>#VALUE!</v>
      </c>
      <c r="I36" s="137" t="s">
        <v>184</v>
      </c>
      <c r="J36" s="157"/>
      <c r="K36" s="157"/>
    </row>
    <row r="37" spans="1:12" ht="15" customHeight="1" x14ac:dyDescent="0.2">
      <c r="A37" s="21"/>
      <c r="B37" s="125"/>
      <c r="C37" s="47"/>
      <c r="D37" s="42"/>
      <c r="E37" s="215" t="s">
        <v>47</v>
      </c>
      <c r="F37" s="316">
        <f>SUM(F36:F36)</f>
        <v>0</v>
      </c>
      <c r="G37" s="20"/>
      <c r="H37" s="317" t="e">
        <f>SUM(H36:H36)</f>
        <v>#VALUE!</v>
      </c>
      <c r="I37" s="19"/>
      <c r="J37" s="157"/>
    </row>
    <row r="38" spans="1:12" x14ac:dyDescent="0.2">
      <c r="A38" s="2" t="s">
        <v>147</v>
      </c>
      <c r="B38" s="1"/>
      <c r="C38" s="1"/>
      <c r="D38" s="1"/>
      <c r="E38" s="1"/>
      <c r="F38" s="1"/>
      <c r="G38" s="1"/>
      <c r="H38" s="207"/>
    </row>
    <row r="39" spans="1:12" x14ac:dyDescent="0.2">
      <c r="A39" s="365"/>
      <c r="B39" s="365"/>
      <c r="C39" s="365"/>
      <c r="D39" s="365"/>
      <c r="E39" s="365"/>
      <c r="F39" s="365"/>
      <c r="G39" s="365"/>
      <c r="H39" s="365"/>
    </row>
    <row r="40" spans="1:12" ht="15" x14ac:dyDescent="0.25">
      <c r="A40" s="3" t="s">
        <v>54</v>
      </c>
    </row>
    <row r="41" spans="1:12" ht="28.5" customHeight="1" x14ac:dyDescent="0.2">
      <c r="A41" s="359" t="s">
        <v>136</v>
      </c>
      <c r="B41" s="359"/>
      <c r="C41" s="359"/>
      <c r="D41" s="359"/>
      <c r="E41" s="359"/>
      <c r="F41" s="359"/>
      <c r="G41" s="359"/>
      <c r="H41" s="359"/>
      <c r="I41" s="359"/>
      <c r="J41" s="205"/>
    </row>
    <row r="42" spans="1:12" ht="14.25" customHeight="1" x14ac:dyDescent="0.2">
      <c r="A42" s="359" t="s">
        <v>134</v>
      </c>
      <c r="B42" s="359"/>
      <c r="C42" s="359"/>
      <c r="D42" s="359"/>
      <c r="E42" s="359"/>
      <c r="F42" s="359"/>
      <c r="G42" s="359"/>
      <c r="H42" s="359"/>
      <c r="I42" s="359"/>
      <c r="J42" s="205"/>
    </row>
    <row r="43" spans="1:12" ht="44.25" customHeight="1" x14ac:dyDescent="0.2">
      <c r="A43" s="373" t="s">
        <v>164</v>
      </c>
      <c r="B43" s="373"/>
      <c r="C43" s="373"/>
      <c r="D43" s="373"/>
      <c r="E43" s="373"/>
      <c r="F43" s="373"/>
      <c r="G43" s="373"/>
      <c r="H43" s="373"/>
      <c r="I43" s="373"/>
      <c r="J43" s="205"/>
    </row>
    <row r="44" spans="1:12" ht="28.5" customHeight="1" x14ac:dyDescent="0.2">
      <c r="A44" s="359" t="s">
        <v>158</v>
      </c>
      <c r="B44" s="359"/>
      <c r="C44" s="359"/>
      <c r="D44" s="359"/>
      <c r="E44" s="359"/>
      <c r="F44" s="359"/>
      <c r="G44" s="359"/>
      <c r="H44" s="359"/>
      <c r="I44" s="359"/>
      <c r="J44" s="205"/>
    </row>
    <row r="45" spans="1:12" ht="14.25" customHeight="1" x14ac:dyDescent="0.2">
      <c r="A45" s="372" t="s">
        <v>165</v>
      </c>
      <c r="B45" s="372"/>
      <c r="C45" s="372"/>
      <c r="D45" s="372"/>
      <c r="E45" s="372"/>
      <c r="F45" s="372"/>
      <c r="G45" s="372"/>
      <c r="H45" s="372"/>
      <c r="I45" s="372"/>
      <c r="J45" s="206"/>
    </row>
    <row r="46" spans="1:12" x14ac:dyDescent="0.2">
      <c r="A46" s="356" t="s">
        <v>166</v>
      </c>
      <c r="B46" s="356"/>
      <c r="C46" s="356"/>
      <c r="D46" s="356"/>
      <c r="E46" s="356"/>
      <c r="F46" s="356"/>
      <c r="G46" s="356"/>
      <c r="H46" s="356"/>
      <c r="I46" s="356"/>
      <c r="J46" s="157"/>
    </row>
    <row r="49" spans="2:6" x14ac:dyDescent="0.2">
      <c r="B49" s="198" t="s">
        <v>42</v>
      </c>
      <c r="C49" s="376" t="s">
        <v>57</v>
      </c>
      <c r="D49" s="377"/>
      <c r="E49" s="376" t="s">
        <v>10</v>
      </c>
      <c r="F49" s="377"/>
    </row>
    <row r="50" spans="2:6" x14ac:dyDescent="0.2">
      <c r="B50" s="198" t="s">
        <v>105</v>
      </c>
      <c r="C50" s="374">
        <f>F8+F24+F37</f>
        <v>0</v>
      </c>
      <c r="D50" s="375"/>
      <c r="E50" s="378" t="e">
        <f>H8+H24+H37</f>
        <v>#VALUE!</v>
      </c>
      <c r="F50" s="375"/>
    </row>
  </sheetData>
  <mergeCells count="22">
    <mergeCell ref="A41:I41"/>
    <mergeCell ref="A43:I43"/>
    <mergeCell ref="C50:D50"/>
    <mergeCell ref="C49:D49"/>
    <mergeCell ref="E49:F49"/>
    <mergeCell ref="E50:F50"/>
    <mergeCell ref="A42:I42"/>
    <mergeCell ref="A44:I44"/>
    <mergeCell ref="A45:I45"/>
    <mergeCell ref="A46:I46"/>
    <mergeCell ref="A10:J10"/>
    <mergeCell ref="A39:H39"/>
    <mergeCell ref="C35:D35"/>
    <mergeCell ref="C36:D36"/>
    <mergeCell ref="C34:D34"/>
    <mergeCell ref="A26:H26"/>
    <mergeCell ref="A12:I12"/>
    <mergeCell ref="A13:I13"/>
    <mergeCell ref="A14:I14"/>
    <mergeCell ref="A28:I28"/>
    <mergeCell ref="A29:I29"/>
    <mergeCell ref="A30:I30"/>
  </mergeCells>
  <printOptions horizontalCentered="1"/>
  <pageMargins left="0.23622047244094491" right="0.23622047244094491" top="0.74803149606299213" bottom="0.74803149606299213" header="0.31496062992125984" footer="0.31496062992125984"/>
  <pageSetup paperSize="9" scale="69" fitToHeight="0" orientation="landscape" r:id="rId1"/>
  <rowBreaks count="1" manualBreakCount="1">
    <brk id="19"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8"/>
  <sheetViews>
    <sheetView topLeftCell="A8" zoomScale="85" zoomScaleNormal="85" zoomScaleSheetLayoutView="85" workbookViewId="0">
      <selection activeCell="H6" sqref="H6"/>
    </sheetView>
  </sheetViews>
  <sheetFormatPr defaultColWidth="9.140625" defaultRowHeight="14.25" x14ac:dyDescent="0.2"/>
  <cols>
    <col min="1" max="1" width="5.7109375" style="157" customWidth="1"/>
    <col min="2" max="2" width="30.7109375" style="205" customWidth="1"/>
    <col min="3" max="3" width="20.7109375" style="205" customWidth="1"/>
    <col min="4" max="4" width="20.7109375" style="157" customWidth="1"/>
    <col min="5" max="7" width="15.7109375" style="157" customWidth="1"/>
    <col min="8" max="8" width="30.7109375" style="205" customWidth="1"/>
    <col min="9" max="9" width="9" style="157" customWidth="1"/>
    <col min="10" max="10" width="9.140625" style="157" customWidth="1"/>
    <col min="11" max="16384" width="9.140625" style="157"/>
  </cols>
  <sheetData>
    <row r="1" spans="1:8" ht="15" x14ac:dyDescent="0.25">
      <c r="A1" s="3" t="s">
        <v>109</v>
      </c>
    </row>
    <row r="3" spans="1:8" ht="24" x14ac:dyDescent="0.2">
      <c r="A3" s="4" t="s">
        <v>32</v>
      </c>
      <c r="B3" s="141" t="s">
        <v>64</v>
      </c>
      <c r="C3" s="201" t="s">
        <v>119</v>
      </c>
      <c r="D3" s="201" t="s">
        <v>118</v>
      </c>
      <c r="E3" s="201" t="s">
        <v>57</v>
      </c>
      <c r="F3" s="201" t="s">
        <v>74</v>
      </c>
      <c r="G3" s="201" t="s">
        <v>38</v>
      </c>
      <c r="H3" s="9" t="s">
        <v>153</v>
      </c>
    </row>
    <row r="4" spans="1:8" x14ac:dyDescent="0.2">
      <c r="A4" s="31"/>
      <c r="B4" s="142"/>
      <c r="C4" s="41"/>
      <c r="D4" s="150" t="s">
        <v>129</v>
      </c>
      <c r="E4" s="29" t="s">
        <v>39</v>
      </c>
      <c r="F4" s="29" t="s">
        <v>40</v>
      </c>
      <c r="G4" s="29" t="s">
        <v>12</v>
      </c>
      <c r="H4" s="41"/>
    </row>
    <row r="5" spans="1:8" ht="24" x14ac:dyDescent="0.2">
      <c r="A5" s="147" t="s">
        <v>183</v>
      </c>
      <c r="B5" s="156" t="s">
        <v>184</v>
      </c>
      <c r="C5" s="146"/>
      <c r="D5" s="305" t="s">
        <v>187</v>
      </c>
      <c r="E5" s="238" t="s">
        <v>188</v>
      </c>
      <c r="F5" s="310" t="s">
        <v>181</v>
      </c>
      <c r="G5" s="281" t="e">
        <f>E5*F5%</f>
        <v>#VALUE!</v>
      </c>
      <c r="H5" s="146" t="s">
        <v>184</v>
      </c>
    </row>
    <row r="6" spans="1:8" x14ac:dyDescent="0.2">
      <c r="A6" s="21"/>
      <c r="B6" s="127"/>
      <c r="C6" s="48"/>
      <c r="D6" s="128" t="s">
        <v>99</v>
      </c>
      <c r="E6" s="319">
        <f>SUM(E5:E5)</f>
        <v>0</v>
      </c>
      <c r="F6" s="37"/>
      <c r="G6" s="319" t="e">
        <f>SUM(G5:G5)</f>
        <v>#VALUE!</v>
      </c>
      <c r="H6" s="49"/>
    </row>
    <row r="7" spans="1:8" x14ac:dyDescent="0.2">
      <c r="A7" s="2" t="s">
        <v>147</v>
      </c>
    </row>
    <row r="9" spans="1:8" x14ac:dyDescent="0.2">
      <c r="B9" s="25" t="s">
        <v>42</v>
      </c>
      <c r="C9" s="148" t="s">
        <v>57</v>
      </c>
      <c r="D9" s="44" t="s">
        <v>10</v>
      </c>
    </row>
    <row r="10" spans="1:8" x14ac:dyDescent="0.2">
      <c r="B10" s="25" t="s">
        <v>111</v>
      </c>
      <c r="C10" s="149">
        <f>E6</f>
        <v>0</v>
      </c>
      <c r="D10" s="54" t="e">
        <f>G6</f>
        <v>#VALUE!</v>
      </c>
    </row>
    <row r="12" spans="1:8" ht="15" x14ac:dyDescent="0.25">
      <c r="A12" s="3" t="s">
        <v>54</v>
      </c>
    </row>
    <row r="13" spans="1:8" ht="28.5" customHeight="1" x14ac:dyDescent="0.2">
      <c r="A13" s="359" t="s">
        <v>137</v>
      </c>
      <c r="B13" s="359"/>
      <c r="C13" s="359"/>
      <c r="D13" s="359"/>
      <c r="E13" s="359"/>
      <c r="F13" s="359"/>
      <c r="G13" s="359"/>
      <c r="H13" s="359"/>
    </row>
    <row r="14" spans="1:8" ht="28.5" customHeight="1" x14ac:dyDescent="0.2">
      <c r="A14" s="359" t="s">
        <v>173</v>
      </c>
      <c r="B14" s="359"/>
      <c r="C14" s="359"/>
      <c r="D14" s="359"/>
      <c r="E14" s="359"/>
      <c r="F14" s="359"/>
      <c r="G14" s="359"/>
      <c r="H14" s="359"/>
    </row>
    <row r="15" spans="1:8" ht="28.5" customHeight="1" x14ac:dyDescent="0.2">
      <c r="A15" s="359" t="s">
        <v>120</v>
      </c>
      <c r="B15" s="359"/>
      <c r="C15" s="359"/>
      <c r="D15" s="359"/>
      <c r="E15" s="359"/>
      <c r="F15" s="359"/>
      <c r="G15" s="359"/>
      <c r="H15" s="359"/>
    </row>
    <row r="16" spans="1:8" ht="73.7" customHeight="1" x14ac:dyDescent="0.2">
      <c r="A16" s="373" t="s">
        <v>170</v>
      </c>
      <c r="B16" s="373"/>
      <c r="C16" s="373"/>
      <c r="D16" s="373"/>
      <c r="E16" s="373"/>
      <c r="F16" s="373"/>
      <c r="G16" s="373"/>
      <c r="H16" s="373"/>
    </row>
    <row r="17" spans="1:8" ht="14.25" customHeight="1" x14ac:dyDescent="0.2">
      <c r="A17" s="359" t="s">
        <v>167</v>
      </c>
      <c r="B17" s="359"/>
      <c r="C17" s="359"/>
      <c r="D17" s="359"/>
      <c r="E17" s="359"/>
      <c r="F17" s="359"/>
      <c r="G17" s="359"/>
      <c r="H17" s="359"/>
    </row>
    <row r="18" spans="1:8" x14ac:dyDescent="0.2">
      <c r="A18" s="359" t="s">
        <v>168</v>
      </c>
      <c r="B18" s="359"/>
      <c r="C18" s="359"/>
      <c r="D18" s="359"/>
      <c r="E18" s="359"/>
      <c r="F18" s="359"/>
      <c r="G18" s="359"/>
      <c r="H18" s="359"/>
    </row>
  </sheetData>
  <mergeCells count="6">
    <mergeCell ref="A13:H13"/>
    <mergeCell ref="A14:H14"/>
    <mergeCell ref="A15:H15"/>
    <mergeCell ref="A17:H17"/>
    <mergeCell ref="A18:H18"/>
    <mergeCell ref="A16:H16"/>
  </mergeCells>
  <printOptions horizontalCentered="1"/>
  <pageMargins left="0.23622047244094491" right="0.23622047244094491" top="0.55118110236220474" bottom="0.55118110236220474" header="0.31496062992125984" footer="0.31496062992125984"/>
  <pageSetup paperSize="9" scale="91"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8"/>
  <sheetViews>
    <sheetView zoomScale="85" zoomScaleNormal="85" zoomScaleSheetLayoutView="85" workbookViewId="0">
      <selection activeCell="K6" sqref="K6"/>
    </sheetView>
  </sheetViews>
  <sheetFormatPr defaultColWidth="9.140625" defaultRowHeight="14.25" x14ac:dyDescent="0.2"/>
  <cols>
    <col min="1" max="1" width="5.7109375" style="157" customWidth="1"/>
    <col min="2" max="2" width="30.7109375" style="205" customWidth="1"/>
    <col min="3" max="3" width="20.7109375" style="157" customWidth="1"/>
    <col min="4" max="4" width="20.7109375" style="205" customWidth="1"/>
    <col min="5" max="5" width="20.7109375" style="157" customWidth="1"/>
    <col min="6" max="6" width="15.7109375" style="157" customWidth="1"/>
    <col min="7" max="7" width="20.7109375" style="157" customWidth="1"/>
    <col min="8" max="10" width="15.7109375" style="157" customWidth="1"/>
    <col min="11" max="11" width="30.7109375" style="157" customWidth="1"/>
    <col min="12" max="12" width="12.42578125" style="157" customWidth="1"/>
    <col min="13" max="13" width="27.5703125" style="205" customWidth="1"/>
    <col min="14" max="14" width="9" style="157" customWidth="1"/>
    <col min="15" max="15" width="9.140625" style="157" customWidth="1"/>
    <col min="16" max="16384" width="9.140625" style="157"/>
  </cols>
  <sheetData>
    <row r="1" spans="1:13" ht="15" x14ac:dyDescent="0.25">
      <c r="A1" s="3" t="s">
        <v>112</v>
      </c>
    </row>
    <row r="3" spans="1:13" ht="24" x14ac:dyDescent="0.2">
      <c r="A3" s="4" t="s">
        <v>32</v>
      </c>
      <c r="B3" s="30" t="s">
        <v>140</v>
      </c>
      <c r="C3" s="201" t="s">
        <v>60</v>
      </c>
      <c r="D3" s="201" t="s">
        <v>34</v>
      </c>
      <c r="E3" s="9" t="s">
        <v>70</v>
      </c>
      <c r="F3" s="201" t="s">
        <v>122</v>
      </c>
      <c r="G3" s="9" t="s">
        <v>71</v>
      </c>
      <c r="H3" s="201" t="s">
        <v>57</v>
      </c>
      <c r="I3" s="201" t="s">
        <v>74</v>
      </c>
      <c r="J3" s="201" t="s">
        <v>38</v>
      </c>
      <c r="K3" s="9" t="s">
        <v>153</v>
      </c>
      <c r="M3" s="157"/>
    </row>
    <row r="4" spans="1:13" x14ac:dyDescent="0.2">
      <c r="A4" s="31"/>
      <c r="B4" s="32"/>
      <c r="C4" s="29"/>
      <c r="D4" s="41"/>
      <c r="E4" s="11" t="s">
        <v>129</v>
      </c>
      <c r="F4" s="29" t="s">
        <v>12</v>
      </c>
      <c r="G4" s="11" t="s">
        <v>129</v>
      </c>
      <c r="H4" s="29" t="s">
        <v>39</v>
      </c>
      <c r="I4" s="29" t="s">
        <v>40</v>
      </c>
      <c r="J4" s="29" t="s">
        <v>12</v>
      </c>
      <c r="K4" s="41"/>
      <c r="M4" s="157"/>
    </row>
    <row r="5" spans="1:13" ht="36" x14ac:dyDescent="0.2">
      <c r="A5" s="231" t="s">
        <v>183</v>
      </c>
      <c r="B5" s="232" t="s">
        <v>178</v>
      </c>
      <c r="C5" s="233" t="s">
        <v>197</v>
      </c>
      <c r="D5" s="234" t="s">
        <v>177</v>
      </c>
      <c r="E5" s="235" t="s">
        <v>216</v>
      </c>
      <c r="F5" s="235"/>
      <c r="G5" s="236" t="s">
        <v>180</v>
      </c>
      <c r="H5" s="238" t="s">
        <v>188</v>
      </c>
      <c r="I5" s="312" t="s">
        <v>181</v>
      </c>
      <c r="J5" s="238" t="e">
        <f>H5*I5%</f>
        <v>#VALUE!</v>
      </c>
      <c r="K5" s="237" t="s">
        <v>184</v>
      </c>
      <c r="M5" s="157"/>
    </row>
    <row r="6" spans="1:13" x14ac:dyDescent="0.2">
      <c r="A6" s="21"/>
      <c r="B6" s="127"/>
      <c r="C6" s="35"/>
      <c r="D6" s="127"/>
      <c r="E6" s="36"/>
      <c r="F6" s="36"/>
      <c r="G6" s="128" t="s">
        <v>99</v>
      </c>
      <c r="H6" s="319">
        <f>SUM(H5:H5)</f>
        <v>0</v>
      </c>
      <c r="I6" s="37"/>
      <c r="J6" s="319" t="e">
        <f>SUM(J5:J5)</f>
        <v>#VALUE!</v>
      </c>
      <c r="K6" s="49"/>
      <c r="M6" s="157"/>
    </row>
    <row r="7" spans="1:13" x14ac:dyDescent="0.2">
      <c r="A7" s="2" t="s">
        <v>163</v>
      </c>
    </row>
    <row r="9" spans="1:13" x14ac:dyDescent="0.2">
      <c r="B9" s="25" t="s">
        <v>42</v>
      </c>
      <c r="C9" s="376" t="s">
        <v>57</v>
      </c>
      <c r="D9" s="377"/>
      <c r="E9" s="376" t="s">
        <v>10</v>
      </c>
      <c r="F9" s="377"/>
    </row>
    <row r="10" spans="1:13" x14ac:dyDescent="0.2">
      <c r="B10" s="25" t="s">
        <v>113</v>
      </c>
      <c r="C10" s="380">
        <f>H6</f>
        <v>0</v>
      </c>
      <c r="D10" s="381"/>
      <c r="E10" s="380" t="e">
        <f>J6</f>
        <v>#VALUE!</v>
      </c>
      <c r="F10" s="381"/>
    </row>
    <row r="12" spans="1:13" ht="15" x14ac:dyDescent="0.25">
      <c r="A12" s="3" t="s">
        <v>54</v>
      </c>
    </row>
    <row r="13" spans="1:13" s="144" customFormat="1" ht="14.25" customHeight="1" x14ac:dyDescent="0.25">
      <c r="A13" s="382" t="s">
        <v>138</v>
      </c>
      <c r="B13" s="382"/>
      <c r="C13" s="382"/>
      <c r="D13" s="382"/>
      <c r="E13" s="382"/>
      <c r="F13" s="382"/>
      <c r="G13" s="382"/>
      <c r="H13" s="382"/>
      <c r="I13" s="382"/>
      <c r="J13" s="382"/>
      <c r="K13" s="382"/>
      <c r="L13" s="206"/>
      <c r="M13" s="206"/>
    </row>
    <row r="14" spans="1:13" s="144" customFormat="1" ht="28.5" customHeight="1" x14ac:dyDescent="0.2">
      <c r="A14" s="359" t="s">
        <v>161</v>
      </c>
      <c r="B14" s="359"/>
      <c r="C14" s="359"/>
      <c r="D14" s="359"/>
      <c r="E14" s="359"/>
      <c r="F14" s="359"/>
      <c r="G14" s="359"/>
      <c r="H14" s="359"/>
      <c r="I14" s="359"/>
      <c r="J14" s="359"/>
      <c r="K14" s="359"/>
      <c r="L14" s="205"/>
      <c r="M14" s="205"/>
    </row>
    <row r="15" spans="1:13" s="144" customFormat="1" ht="14.25" customHeight="1" x14ac:dyDescent="0.25">
      <c r="A15" s="379" t="s">
        <v>149</v>
      </c>
      <c r="B15" s="379"/>
      <c r="C15" s="379"/>
      <c r="D15" s="379"/>
      <c r="E15" s="379"/>
      <c r="F15" s="379"/>
      <c r="G15" s="379"/>
      <c r="H15" s="379"/>
      <c r="I15" s="379"/>
      <c r="J15" s="379"/>
      <c r="K15" s="379"/>
    </row>
    <row r="16" spans="1:13" ht="14.25" customHeight="1" x14ac:dyDescent="0.2">
      <c r="A16" s="379" t="s">
        <v>150</v>
      </c>
      <c r="B16" s="379"/>
      <c r="C16" s="379"/>
      <c r="D16" s="379"/>
      <c r="E16" s="379"/>
      <c r="F16" s="379"/>
      <c r="G16" s="379"/>
      <c r="H16" s="379"/>
      <c r="I16" s="379"/>
      <c r="J16" s="379"/>
      <c r="K16" s="379"/>
      <c r="L16" s="144"/>
      <c r="M16" s="144"/>
    </row>
    <row r="17" spans="1:13" s="144" customFormat="1" ht="14.25" customHeight="1" x14ac:dyDescent="0.2">
      <c r="A17" s="356" t="s">
        <v>151</v>
      </c>
      <c r="B17" s="356"/>
      <c r="C17" s="356"/>
      <c r="D17" s="356"/>
      <c r="E17" s="356"/>
      <c r="F17" s="356"/>
      <c r="G17" s="356"/>
      <c r="H17" s="356"/>
      <c r="I17" s="356"/>
      <c r="J17" s="356"/>
      <c r="K17" s="356"/>
      <c r="L17" s="157"/>
      <c r="M17" s="157"/>
    </row>
    <row r="18" spans="1:13" x14ac:dyDescent="0.2">
      <c r="A18" s="379" t="s">
        <v>159</v>
      </c>
      <c r="B18" s="379"/>
      <c r="C18" s="379"/>
      <c r="D18" s="379"/>
      <c r="E18" s="379"/>
      <c r="F18" s="379"/>
      <c r="G18" s="379"/>
      <c r="H18" s="379"/>
      <c r="I18" s="379"/>
      <c r="J18" s="379"/>
      <c r="K18" s="379"/>
      <c r="L18" s="144"/>
      <c r="M18" s="144"/>
    </row>
  </sheetData>
  <mergeCells count="10">
    <mergeCell ref="A16:K16"/>
    <mergeCell ref="A18:K18"/>
    <mergeCell ref="C10:D10"/>
    <mergeCell ref="C9:D9"/>
    <mergeCell ref="E9:F9"/>
    <mergeCell ref="E10:F10"/>
    <mergeCell ref="A13:K13"/>
    <mergeCell ref="A15:K15"/>
    <mergeCell ref="A17:K17"/>
    <mergeCell ref="A14:K14"/>
  </mergeCells>
  <printOptions horizontalCentered="1"/>
  <pageMargins left="0.23622047244094491" right="0.23622047244094491" top="0.55118110236220474" bottom="0.55118110236220474" header="0.31496062992125984" footer="0.31496062992125984"/>
  <pageSetup paperSize="9" scale="56" fitToHeight="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24"/>
  <sheetViews>
    <sheetView tabSelected="1" zoomScale="85" zoomScaleNormal="85" zoomScaleSheetLayoutView="85" workbookViewId="0">
      <selection activeCell="E5" sqref="E5"/>
    </sheetView>
  </sheetViews>
  <sheetFormatPr defaultColWidth="9.140625" defaultRowHeight="14.25" x14ac:dyDescent="0.2"/>
  <cols>
    <col min="1" max="1" width="5.7109375" style="157" customWidth="1"/>
    <col min="2" max="3" width="30.7109375" style="157" customWidth="1"/>
    <col min="4" max="5" width="15.7109375" style="157" customWidth="1"/>
    <col min="6" max="6" width="30.7109375" style="157" customWidth="1"/>
    <col min="7" max="9" width="9.140625" style="157"/>
    <col min="10" max="10" width="11" style="157" bestFit="1" customWidth="1"/>
    <col min="11" max="11" width="9.140625" style="157"/>
    <col min="12" max="12" width="11" style="157" bestFit="1" customWidth="1"/>
    <col min="13" max="13" width="34.7109375" style="157" customWidth="1"/>
    <col min="14" max="16384" width="9.140625" style="157"/>
  </cols>
  <sheetData>
    <row r="1" spans="1:6" ht="15" x14ac:dyDescent="0.25">
      <c r="A1" s="3" t="s">
        <v>101</v>
      </c>
    </row>
    <row r="3" spans="1:6" ht="24" x14ac:dyDescent="0.2">
      <c r="A3" s="4" t="s">
        <v>32</v>
      </c>
      <c r="B3" s="30" t="s">
        <v>55</v>
      </c>
      <c r="C3" s="201" t="s">
        <v>56</v>
      </c>
      <c r="D3" s="201" t="s">
        <v>74</v>
      </c>
      <c r="E3" s="201" t="s">
        <v>38</v>
      </c>
      <c r="F3" s="9" t="s">
        <v>11</v>
      </c>
    </row>
    <row r="4" spans="1:6" x14ac:dyDescent="0.2">
      <c r="A4" s="31"/>
      <c r="B4" s="32"/>
      <c r="C4" s="29" t="s">
        <v>39</v>
      </c>
      <c r="D4" s="29" t="s">
        <v>40</v>
      </c>
      <c r="E4" s="29" t="s">
        <v>12</v>
      </c>
      <c r="F4" s="29"/>
    </row>
    <row r="5" spans="1:6" x14ac:dyDescent="0.2">
      <c r="A5" s="6">
        <v>1</v>
      </c>
      <c r="B5" s="113" t="s">
        <v>148</v>
      </c>
      <c r="C5" s="238" t="s">
        <v>226</v>
      </c>
      <c r="D5" s="51" t="s">
        <v>233</v>
      </c>
      <c r="E5" s="238" t="e">
        <f>C5*D5</f>
        <v>#VALUE!</v>
      </c>
      <c r="F5" s="34"/>
    </row>
    <row r="6" spans="1:6" x14ac:dyDescent="0.2">
      <c r="A6" s="6">
        <v>2</v>
      </c>
      <c r="B6" s="113" t="s">
        <v>67</v>
      </c>
      <c r="C6" s="238" t="s">
        <v>226</v>
      </c>
      <c r="D6" s="51" t="s">
        <v>233</v>
      </c>
      <c r="E6" s="238" t="e">
        <f>C6*D6</f>
        <v>#VALUE!</v>
      </c>
      <c r="F6" s="34"/>
    </row>
    <row r="7" spans="1:6" x14ac:dyDescent="0.2">
      <c r="A7" s="6">
        <v>3</v>
      </c>
      <c r="B7" s="113" t="s">
        <v>68</v>
      </c>
      <c r="C7" s="228" t="s">
        <v>227</v>
      </c>
      <c r="D7" s="51" t="s">
        <v>233</v>
      </c>
      <c r="E7" s="238" t="e">
        <f>C7*D7</f>
        <v>#VALUE!</v>
      </c>
      <c r="F7" s="34"/>
    </row>
    <row r="8" spans="1:6" x14ac:dyDescent="0.2">
      <c r="A8" s="6">
        <v>4</v>
      </c>
      <c r="B8" s="113" t="s">
        <v>100</v>
      </c>
      <c r="C8" s="238" t="s">
        <v>226</v>
      </c>
      <c r="D8" s="51" t="s">
        <v>233</v>
      </c>
      <c r="E8" s="238" t="e">
        <f>C8*D8</f>
        <v>#VALUE!</v>
      </c>
      <c r="F8" s="34"/>
    </row>
    <row r="9" spans="1:6" x14ac:dyDescent="0.2">
      <c r="A9" s="21"/>
      <c r="B9" s="127"/>
      <c r="C9" s="35"/>
      <c r="D9" s="50" t="s">
        <v>99</v>
      </c>
      <c r="E9" s="319" t="e">
        <f>SUM(E5:E8)</f>
        <v>#VALUE!</v>
      </c>
      <c r="F9" s="128"/>
    </row>
    <row r="10" spans="1:6" x14ac:dyDescent="0.2">
      <c r="A10" s="2" t="s">
        <v>102</v>
      </c>
    </row>
    <row r="11" spans="1:6" x14ac:dyDescent="0.2">
      <c r="A11" s="2"/>
    </row>
    <row r="12" spans="1:6" ht="15" x14ac:dyDescent="0.25">
      <c r="A12" s="3" t="s">
        <v>54</v>
      </c>
    </row>
    <row r="13" spans="1:6" ht="28.5" customHeight="1" x14ac:dyDescent="0.2">
      <c r="A13" s="359" t="s">
        <v>139</v>
      </c>
      <c r="B13" s="359"/>
      <c r="C13" s="359"/>
      <c r="D13" s="359"/>
      <c r="E13" s="359"/>
      <c r="F13" s="359"/>
    </row>
    <row r="14" spans="1:6" x14ac:dyDescent="0.2">
      <c r="A14" s="356" t="s">
        <v>171</v>
      </c>
      <c r="B14" s="356"/>
      <c r="C14" s="356"/>
      <c r="D14" s="356"/>
      <c r="E14" s="356"/>
      <c r="F14" s="356"/>
    </row>
    <row r="15" spans="1:6" x14ac:dyDescent="0.2">
      <c r="A15" s="356" t="s">
        <v>160</v>
      </c>
      <c r="B15" s="356"/>
      <c r="C15" s="356"/>
      <c r="D15" s="356"/>
      <c r="E15" s="356"/>
      <c r="F15" s="356"/>
    </row>
    <row r="18" spans="2:12" x14ac:dyDescent="0.2">
      <c r="B18" s="25" t="s">
        <v>42</v>
      </c>
      <c r="C18" s="44" t="s">
        <v>10</v>
      </c>
      <c r="D18" s="52"/>
      <c r="E18" s="52"/>
    </row>
    <row r="19" spans="2:12" x14ac:dyDescent="0.2">
      <c r="B19" s="25" t="s">
        <v>103</v>
      </c>
      <c r="C19" s="274" t="e">
        <f>E9</f>
        <v>#VALUE!</v>
      </c>
      <c r="D19" s="53"/>
      <c r="E19" s="53"/>
    </row>
    <row r="24" spans="2:12" x14ac:dyDescent="0.2">
      <c r="L24" s="306"/>
    </row>
  </sheetData>
  <mergeCells count="3">
    <mergeCell ref="A13:F13"/>
    <mergeCell ref="A14:F14"/>
    <mergeCell ref="A15:F15"/>
  </mergeCells>
  <conditionalFormatting sqref="C8:F8">
    <cfRule type="containsErrors" dxfId="19" priority="1">
      <formula>ISERROR(C8)</formula>
    </cfRule>
    <cfRule type="containsBlanks" dxfId="18" priority="3">
      <formula>LEN(TRIM(C8))=0</formula>
    </cfRule>
  </conditionalFormatting>
  <printOptions horizontalCentered="1"/>
  <pageMargins left="0.23622047244094491" right="0.23622047244094491" top="0.55118110236220474" bottom="0.55118110236220474" header="0.31496062992125984" footer="0.31496062992125984"/>
  <pageSetup paperSize="9" fitToHeight="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44"/>
  <sheetViews>
    <sheetView topLeftCell="A31" zoomScale="120" zoomScaleNormal="120" zoomScaleSheetLayoutView="85" workbookViewId="0">
      <selection activeCell="H36" sqref="H36"/>
    </sheetView>
  </sheetViews>
  <sheetFormatPr defaultColWidth="9.140625" defaultRowHeight="14.25" x14ac:dyDescent="0.2"/>
  <cols>
    <col min="1" max="1" width="5.5703125" style="159" customWidth="1"/>
    <col min="2" max="2" width="45.7109375" style="204" customWidth="1"/>
    <col min="3" max="3" width="9.140625" style="159"/>
    <col min="4" max="4" width="12.7109375" style="160" customWidth="1"/>
    <col min="5" max="6" width="15" style="160" customWidth="1"/>
    <col min="7" max="7" width="15" style="161" customWidth="1"/>
    <col min="8" max="8" width="14.85546875" style="160" customWidth="1"/>
    <col min="9" max="9" width="17.42578125" style="160" hidden="1" customWidth="1"/>
    <col min="10" max="10" width="12.140625" style="160" customWidth="1"/>
    <col min="11" max="11" width="12.5703125" style="157" bestFit="1" customWidth="1"/>
    <col min="12" max="12" width="10.7109375" style="157" customWidth="1"/>
    <col min="13" max="16384" width="9.140625" style="157"/>
  </cols>
  <sheetData>
    <row r="1" spans="1:12" ht="15" x14ac:dyDescent="0.25">
      <c r="A1" s="158" t="s">
        <v>130</v>
      </c>
    </row>
    <row r="2" spans="1:12" ht="15" thickBot="1" x14ac:dyDescent="0.25">
      <c r="A2" s="112"/>
      <c r="I2" s="160" t="s">
        <v>89</v>
      </c>
    </row>
    <row r="3" spans="1:12" ht="15" customHeight="1" thickBot="1" x14ac:dyDescent="0.25">
      <c r="A3" s="395" t="s">
        <v>76</v>
      </c>
      <c r="B3" s="396"/>
      <c r="C3" s="396"/>
      <c r="D3" s="396"/>
      <c r="E3" s="397"/>
      <c r="F3" s="398" t="s">
        <v>202</v>
      </c>
      <c r="G3" s="398" t="s">
        <v>201</v>
      </c>
      <c r="H3" s="386" t="s">
        <v>95</v>
      </c>
      <c r="I3" s="386" t="s">
        <v>77</v>
      </c>
      <c r="J3" s="386" t="s">
        <v>200</v>
      </c>
      <c r="L3" s="386" t="s">
        <v>223</v>
      </c>
    </row>
    <row r="4" spans="1:12" ht="22.5" x14ac:dyDescent="0.2">
      <c r="A4" s="389" t="s">
        <v>78</v>
      </c>
      <c r="B4" s="391" t="s">
        <v>79</v>
      </c>
      <c r="C4" s="391" t="s">
        <v>80</v>
      </c>
      <c r="D4" s="162" t="s">
        <v>81</v>
      </c>
      <c r="E4" s="393" t="s">
        <v>83</v>
      </c>
      <c r="F4" s="399"/>
      <c r="G4" s="399"/>
      <c r="H4" s="387"/>
      <c r="I4" s="387"/>
      <c r="J4" s="387"/>
      <c r="L4" s="387"/>
    </row>
    <row r="5" spans="1:12" ht="15" thickBot="1" x14ac:dyDescent="0.25">
      <c r="A5" s="390"/>
      <c r="B5" s="392"/>
      <c r="C5" s="392"/>
      <c r="D5" s="163" t="s">
        <v>82</v>
      </c>
      <c r="E5" s="394"/>
      <c r="F5" s="400"/>
      <c r="G5" s="400"/>
      <c r="H5" s="388"/>
      <c r="I5" s="388"/>
      <c r="J5" s="388"/>
      <c r="L5" s="388"/>
    </row>
    <row r="6" spans="1:12" ht="24.75" thickBot="1" x14ac:dyDescent="0.25">
      <c r="A6" s="164" t="s">
        <v>209</v>
      </c>
      <c r="B6" s="165" t="s">
        <v>205</v>
      </c>
      <c r="C6" s="229"/>
      <c r="D6" s="283"/>
      <c r="E6" s="283" t="s">
        <v>204</v>
      </c>
      <c r="F6" s="283" t="s">
        <v>210</v>
      </c>
      <c r="G6" s="284" t="s">
        <v>203</v>
      </c>
      <c r="H6" s="283">
        <f>SUM(F6:G6)</f>
        <v>0</v>
      </c>
      <c r="I6" s="283"/>
      <c r="J6" s="283" t="e">
        <f>E6-H6</f>
        <v>#VALUE!</v>
      </c>
      <c r="L6" s="299"/>
    </row>
    <row r="7" spans="1:12" ht="15" thickBot="1" x14ac:dyDescent="0.25">
      <c r="A7" s="383" t="s">
        <v>84</v>
      </c>
      <c r="B7" s="384"/>
      <c r="C7" s="384"/>
      <c r="D7" s="385"/>
      <c r="E7" s="285">
        <f>'Summ of Fund Requisitions'!B17</f>
        <v>0</v>
      </c>
      <c r="F7" s="283">
        <f>SUM(F6:F6)</f>
        <v>0</v>
      </c>
      <c r="G7" s="284">
        <f>SUM(G6:G6)</f>
        <v>0</v>
      </c>
      <c r="H7" s="283">
        <f>SUM(H6:H6)</f>
        <v>0</v>
      </c>
      <c r="I7" s="283">
        <f>SUM(I6:I6)</f>
        <v>0</v>
      </c>
      <c r="J7" s="283">
        <f>E7-H7</f>
        <v>0</v>
      </c>
      <c r="L7" s="300" t="s">
        <v>224</v>
      </c>
    </row>
    <row r="8" spans="1:12" ht="15" thickBot="1" x14ac:dyDescent="0.25">
      <c r="A8" s="112"/>
    </row>
    <row r="9" spans="1:12" ht="15.75" customHeight="1" thickBot="1" x14ac:dyDescent="0.25">
      <c r="A9" s="395" t="s">
        <v>85</v>
      </c>
      <c r="B9" s="396"/>
      <c r="C9" s="396"/>
      <c r="D9" s="396"/>
      <c r="E9" s="397"/>
      <c r="F9" s="398" t="s">
        <v>124</v>
      </c>
      <c r="G9" s="398" t="s">
        <v>94</v>
      </c>
      <c r="H9" s="386" t="s">
        <v>95</v>
      </c>
      <c r="I9" s="386" t="s">
        <v>77</v>
      </c>
      <c r="J9" s="386" t="s">
        <v>200</v>
      </c>
      <c r="L9" s="386" t="s">
        <v>223</v>
      </c>
    </row>
    <row r="10" spans="1:12" x14ac:dyDescent="0.2">
      <c r="A10" s="389" t="s">
        <v>78</v>
      </c>
      <c r="B10" s="391" t="s">
        <v>86</v>
      </c>
      <c r="C10" s="391" t="s">
        <v>80</v>
      </c>
      <c r="D10" s="167" t="s">
        <v>87</v>
      </c>
      <c r="E10" s="393" t="s">
        <v>83</v>
      </c>
      <c r="F10" s="399"/>
      <c r="G10" s="399"/>
      <c r="H10" s="387"/>
      <c r="I10" s="387"/>
      <c r="J10" s="387"/>
      <c r="L10" s="387"/>
    </row>
    <row r="11" spans="1:12" ht="15" thickBot="1" x14ac:dyDescent="0.25">
      <c r="A11" s="390"/>
      <c r="B11" s="392"/>
      <c r="C11" s="392"/>
      <c r="D11" s="163" t="s">
        <v>82</v>
      </c>
      <c r="E11" s="394"/>
      <c r="F11" s="400"/>
      <c r="G11" s="400"/>
      <c r="H11" s="388"/>
      <c r="I11" s="388"/>
      <c r="J11" s="388"/>
      <c r="L11" s="388"/>
    </row>
    <row r="12" spans="1:12" ht="24.75" thickBot="1" x14ac:dyDescent="0.25">
      <c r="A12" s="164" t="s">
        <v>213</v>
      </c>
      <c r="B12" s="165" t="s">
        <v>205</v>
      </c>
      <c r="C12" s="166"/>
      <c r="D12" s="286"/>
      <c r="E12" s="283" t="s">
        <v>204</v>
      </c>
      <c r="F12" s="294" t="s">
        <v>210</v>
      </c>
      <c r="G12" s="302" t="s">
        <v>203</v>
      </c>
      <c r="H12" s="283">
        <f>SUM(F12:G12)</f>
        <v>0</v>
      </c>
      <c r="I12" s="283"/>
      <c r="J12" s="283" t="e">
        <f>E12-H12</f>
        <v>#VALUE!</v>
      </c>
      <c r="L12" s="299"/>
    </row>
    <row r="13" spans="1:12" ht="15" thickBot="1" x14ac:dyDescent="0.25">
      <c r="A13" s="383" t="s">
        <v>84</v>
      </c>
      <c r="B13" s="384"/>
      <c r="C13" s="384"/>
      <c r="D13" s="385"/>
      <c r="E13" s="296">
        <f>'Summ of Fund Requisitions'!B20</f>
        <v>0</v>
      </c>
      <c r="F13" s="295">
        <f>SUM(F12:F12)</f>
        <v>0</v>
      </c>
      <c r="G13" s="297">
        <f>SUM(G12:G12)</f>
        <v>0</v>
      </c>
      <c r="H13" s="295">
        <f>SUM(H12:H12)</f>
        <v>0</v>
      </c>
      <c r="I13" s="298">
        <f>SUM(I12:I12)</f>
        <v>0</v>
      </c>
      <c r="J13" s="295">
        <f>E13-H13</f>
        <v>0</v>
      </c>
      <c r="L13" s="300" t="s">
        <v>224</v>
      </c>
    </row>
    <row r="14" spans="1:12" ht="15" thickBot="1" x14ac:dyDescent="0.25">
      <c r="A14" s="112"/>
    </row>
    <row r="15" spans="1:12" ht="15.75" customHeight="1" thickBot="1" x14ac:dyDescent="0.25">
      <c r="A15" s="395" t="s">
        <v>88</v>
      </c>
      <c r="B15" s="396"/>
      <c r="C15" s="396"/>
      <c r="D15" s="396"/>
      <c r="E15" s="397"/>
      <c r="F15" s="398" t="s">
        <v>202</v>
      </c>
      <c r="G15" s="398" t="s">
        <v>201</v>
      </c>
      <c r="H15" s="386" t="s">
        <v>95</v>
      </c>
      <c r="I15" s="386" t="s">
        <v>77</v>
      </c>
      <c r="J15" s="386" t="s">
        <v>200</v>
      </c>
      <c r="L15" s="386" t="s">
        <v>223</v>
      </c>
    </row>
    <row r="16" spans="1:12" x14ac:dyDescent="0.2">
      <c r="A16" s="389" t="s">
        <v>78</v>
      </c>
      <c r="B16" s="391" t="s">
        <v>55</v>
      </c>
      <c r="C16" s="391" t="s">
        <v>80</v>
      </c>
      <c r="D16" s="167" t="s">
        <v>87</v>
      </c>
      <c r="E16" s="393" t="s">
        <v>83</v>
      </c>
      <c r="F16" s="399"/>
      <c r="G16" s="399"/>
      <c r="H16" s="387"/>
      <c r="I16" s="387"/>
      <c r="J16" s="387"/>
      <c r="L16" s="387"/>
    </row>
    <row r="17" spans="1:12" ht="15" thickBot="1" x14ac:dyDescent="0.25">
      <c r="A17" s="390"/>
      <c r="B17" s="392"/>
      <c r="C17" s="392"/>
      <c r="D17" s="163" t="s">
        <v>82</v>
      </c>
      <c r="E17" s="394"/>
      <c r="F17" s="400"/>
      <c r="G17" s="400"/>
      <c r="H17" s="388"/>
      <c r="I17" s="388"/>
      <c r="J17" s="388"/>
      <c r="L17" s="388"/>
    </row>
    <row r="18" spans="1:12" ht="24.75" thickBot="1" x14ac:dyDescent="0.25">
      <c r="A18" s="164" t="s">
        <v>208</v>
      </c>
      <c r="B18" s="165" t="s">
        <v>205</v>
      </c>
      <c r="C18" s="166"/>
      <c r="D18" s="286"/>
      <c r="E18" s="283" t="s">
        <v>204</v>
      </c>
      <c r="F18" s="283" t="s">
        <v>210</v>
      </c>
      <c r="G18" s="284" t="s">
        <v>203</v>
      </c>
      <c r="H18" s="283">
        <f>SUM(F18:G18)</f>
        <v>0</v>
      </c>
      <c r="I18" s="283"/>
      <c r="J18" s="283" t="e">
        <f>E18-H18</f>
        <v>#VALUE!</v>
      </c>
      <c r="L18" s="299"/>
    </row>
    <row r="19" spans="1:12" ht="15" thickBot="1" x14ac:dyDescent="0.25">
      <c r="A19" s="383" t="s">
        <v>84</v>
      </c>
      <c r="B19" s="384"/>
      <c r="C19" s="384"/>
      <c r="D19" s="385"/>
      <c r="E19" s="285">
        <f>'Summ of Fund Requisitions'!B25</f>
        <v>0</v>
      </c>
      <c r="F19" s="283">
        <f>SUM(F18:F18)</f>
        <v>0</v>
      </c>
      <c r="G19" s="283">
        <f>SUM(G18:G18)</f>
        <v>0</v>
      </c>
      <c r="H19" s="283">
        <f>SUM(H18:H18)</f>
        <v>0</v>
      </c>
      <c r="I19" s="230">
        <f>SUM(I18:I18)</f>
        <v>0</v>
      </c>
      <c r="J19" s="283">
        <f>E19-H19</f>
        <v>0</v>
      </c>
      <c r="L19" s="300" t="s">
        <v>224</v>
      </c>
    </row>
    <row r="20" spans="1:12" ht="15" thickBot="1" x14ac:dyDescent="0.25">
      <c r="A20" s="112"/>
    </row>
    <row r="21" spans="1:12" ht="15.75" customHeight="1" thickBot="1" x14ac:dyDescent="0.25">
      <c r="A21" s="395" t="s">
        <v>125</v>
      </c>
      <c r="B21" s="396"/>
      <c r="C21" s="396"/>
      <c r="D21" s="396"/>
      <c r="E21" s="397"/>
      <c r="F21" s="398" t="s">
        <v>202</v>
      </c>
      <c r="G21" s="398" t="s">
        <v>201</v>
      </c>
      <c r="H21" s="386" t="s">
        <v>95</v>
      </c>
      <c r="I21" s="386" t="s">
        <v>77</v>
      </c>
      <c r="J21" s="386" t="s">
        <v>200</v>
      </c>
      <c r="L21" s="386" t="s">
        <v>223</v>
      </c>
    </row>
    <row r="22" spans="1:12" x14ac:dyDescent="0.2">
      <c r="A22" s="389" t="s">
        <v>78</v>
      </c>
      <c r="B22" s="391" t="s">
        <v>55</v>
      </c>
      <c r="C22" s="391" t="s">
        <v>80</v>
      </c>
      <c r="D22" s="167" t="s">
        <v>87</v>
      </c>
      <c r="E22" s="393" t="s">
        <v>83</v>
      </c>
      <c r="F22" s="399"/>
      <c r="G22" s="399"/>
      <c r="H22" s="387"/>
      <c r="I22" s="387"/>
      <c r="J22" s="387"/>
      <c r="L22" s="387"/>
    </row>
    <row r="23" spans="1:12" ht="15" thickBot="1" x14ac:dyDescent="0.25">
      <c r="A23" s="390"/>
      <c r="B23" s="392"/>
      <c r="C23" s="392"/>
      <c r="D23" s="163" t="s">
        <v>82</v>
      </c>
      <c r="E23" s="394"/>
      <c r="F23" s="400"/>
      <c r="G23" s="400"/>
      <c r="H23" s="388"/>
      <c r="I23" s="388"/>
      <c r="J23" s="388"/>
      <c r="L23" s="388"/>
    </row>
    <row r="24" spans="1:12" ht="24.75" thickBot="1" x14ac:dyDescent="0.25">
      <c r="A24" s="164" t="s">
        <v>212</v>
      </c>
      <c r="B24" s="165" t="s">
        <v>205</v>
      </c>
      <c r="C24" s="166"/>
      <c r="D24" s="286"/>
      <c r="E24" s="283" t="s">
        <v>204</v>
      </c>
      <c r="F24" s="283" t="s">
        <v>210</v>
      </c>
      <c r="G24" s="284" t="s">
        <v>203</v>
      </c>
      <c r="H24" s="283">
        <f>SUM(F24:G24)</f>
        <v>0</v>
      </c>
      <c r="I24" s="283"/>
      <c r="J24" s="283" t="e">
        <f>E24-H24</f>
        <v>#VALUE!</v>
      </c>
      <c r="L24" s="299"/>
    </row>
    <row r="25" spans="1:12" ht="15" thickBot="1" x14ac:dyDescent="0.25">
      <c r="A25" s="383" t="s">
        <v>84</v>
      </c>
      <c r="B25" s="384"/>
      <c r="C25" s="384"/>
      <c r="D25" s="385"/>
      <c r="E25" s="285">
        <f>'Summ of Fund Requisitions'!B28</f>
        <v>0</v>
      </c>
      <c r="F25" s="283">
        <f>SUM(F24:F24)</f>
        <v>0</v>
      </c>
      <c r="G25" s="283">
        <f>SUM(G24:G24)</f>
        <v>0</v>
      </c>
      <c r="H25" s="283">
        <f>SUM(H24:H24)</f>
        <v>0</v>
      </c>
      <c r="I25" s="283">
        <f>SUM(I24:I24)</f>
        <v>0</v>
      </c>
      <c r="J25" s="283">
        <f>E25-H25</f>
        <v>0</v>
      </c>
      <c r="L25" s="300" t="s">
        <v>224</v>
      </c>
    </row>
    <row r="26" spans="1:12" ht="15" thickBot="1" x14ac:dyDescent="0.25">
      <c r="A26" s="112"/>
    </row>
    <row r="27" spans="1:12" ht="15.75" customHeight="1" thickBot="1" x14ac:dyDescent="0.25">
      <c r="A27" s="395" t="s">
        <v>126</v>
      </c>
      <c r="B27" s="396"/>
      <c r="C27" s="396"/>
      <c r="D27" s="396"/>
      <c r="E27" s="397"/>
      <c r="F27" s="398" t="s">
        <v>202</v>
      </c>
      <c r="G27" s="398" t="s">
        <v>201</v>
      </c>
      <c r="H27" s="386" t="s">
        <v>95</v>
      </c>
      <c r="I27" s="386" t="s">
        <v>77</v>
      </c>
      <c r="J27" s="386" t="s">
        <v>200</v>
      </c>
      <c r="L27" s="386" t="s">
        <v>223</v>
      </c>
    </row>
    <row r="28" spans="1:12" x14ac:dyDescent="0.2">
      <c r="A28" s="389" t="s">
        <v>78</v>
      </c>
      <c r="B28" s="391" t="s">
        <v>55</v>
      </c>
      <c r="C28" s="391" t="s">
        <v>80</v>
      </c>
      <c r="D28" s="167" t="s">
        <v>87</v>
      </c>
      <c r="E28" s="393" t="s">
        <v>83</v>
      </c>
      <c r="F28" s="399"/>
      <c r="G28" s="399"/>
      <c r="H28" s="387"/>
      <c r="I28" s="387"/>
      <c r="J28" s="387"/>
      <c r="L28" s="387"/>
    </row>
    <row r="29" spans="1:12" ht="15" thickBot="1" x14ac:dyDescent="0.25">
      <c r="A29" s="390"/>
      <c r="B29" s="392"/>
      <c r="C29" s="392"/>
      <c r="D29" s="163" t="s">
        <v>82</v>
      </c>
      <c r="E29" s="394"/>
      <c r="F29" s="400"/>
      <c r="G29" s="400"/>
      <c r="H29" s="388"/>
      <c r="I29" s="388"/>
      <c r="J29" s="388"/>
      <c r="L29" s="388"/>
    </row>
    <row r="30" spans="1:12" ht="24.75" thickBot="1" x14ac:dyDescent="0.25">
      <c r="A30" s="164" t="s">
        <v>211</v>
      </c>
      <c r="B30" s="165" t="s">
        <v>205</v>
      </c>
      <c r="C30" s="166"/>
      <c r="D30" s="286"/>
      <c r="E30" s="283" t="s">
        <v>204</v>
      </c>
      <c r="F30" s="283" t="s">
        <v>210</v>
      </c>
      <c r="G30" s="284" t="s">
        <v>203</v>
      </c>
      <c r="H30" s="283">
        <f>SUM(F30:G30)</f>
        <v>0</v>
      </c>
      <c r="I30" s="283"/>
      <c r="J30" s="283" t="e">
        <f>E30-H30</f>
        <v>#VALUE!</v>
      </c>
      <c r="L30" s="299"/>
    </row>
    <row r="31" spans="1:12" ht="15" thickBot="1" x14ac:dyDescent="0.25">
      <c r="A31" s="383" t="s">
        <v>84</v>
      </c>
      <c r="B31" s="384"/>
      <c r="C31" s="384"/>
      <c r="D31" s="385"/>
      <c r="E31" s="285">
        <f>'Summ of Fund Requisitions'!B31</f>
        <v>0</v>
      </c>
      <c r="F31" s="283">
        <f>SUM(F30:F30)</f>
        <v>0</v>
      </c>
      <c r="G31" s="283">
        <f>SUM(G30:G30)</f>
        <v>0</v>
      </c>
      <c r="H31" s="283">
        <f>SUM(H30:H30)</f>
        <v>0</v>
      </c>
      <c r="I31" s="283">
        <f>SUM(I30:I30)</f>
        <v>0</v>
      </c>
      <c r="J31" s="283">
        <f>E31-H31</f>
        <v>0</v>
      </c>
      <c r="L31" s="300" t="s">
        <v>224</v>
      </c>
    </row>
    <row r="32" spans="1:12" ht="15" thickBot="1" x14ac:dyDescent="0.25">
      <c r="A32" s="112"/>
    </row>
    <row r="33" spans="1:12" ht="75.75" customHeight="1" thickBot="1" x14ac:dyDescent="0.4">
      <c r="A33" s="401" t="s">
        <v>55</v>
      </c>
      <c r="B33" s="402"/>
      <c r="C33" s="402"/>
      <c r="D33" s="402"/>
      <c r="E33" s="403"/>
      <c r="F33" s="168" t="s">
        <v>90</v>
      </c>
      <c r="G33" s="168" t="s">
        <v>124</v>
      </c>
      <c r="H33" s="169" t="s">
        <v>94</v>
      </c>
      <c r="I33" s="170"/>
      <c r="J33" s="170"/>
      <c r="L33" s="324" t="s">
        <v>222</v>
      </c>
    </row>
    <row r="34" spans="1:12" x14ac:dyDescent="0.2">
      <c r="A34" s="171" t="s">
        <v>127</v>
      </c>
      <c r="B34" s="172"/>
      <c r="C34" s="173"/>
      <c r="D34" s="174"/>
      <c r="E34" s="175"/>
      <c r="F34" s="287">
        <f>E31+E25+E19+E13+E7</f>
        <v>0</v>
      </c>
      <c r="G34" s="287">
        <f>F31+F25+F19+F13+F7</f>
        <v>0</v>
      </c>
      <c r="H34" s="288">
        <f>G31+G25+G19+G13+G7</f>
        <v>0</v>
      </c>
      <c r="K34" s="160"/>
      <c r="L34" s="322" t="s">
        <v>228</v>
      </c>
    </row>
    <row r="35" spans="1:12" x14ac:dyDescent="0.2">
      <c r="A35" s="176"/>
      <c r="B35" s="177"/>
      <c r="C35" s="178"/>
      <c r="D35" s="179"/>
      <c r="E35" s="180"/>
      <c r="F35" s="289"/>
      <c r="G35" s="289"/>
      <c r="H35" s="290"/>
      <c r="L35" s="320"/>
    </row>
    <row r="36" spans="1:12" x14ac:dyDescent="0.2">
      <c r="A36" s="181" t="s">
        <v>128</v>
      </c>
      <c r="B36" s="177"/>
      <c r="C36" s="178"/>
      <c r="D36" s="179"/>
      <c r="E36" s="180"/>
      <c r="F36" s="289">
        <f ca="1">'Summ of Fund Requisitions'!B34</f>
        <v>0</v>
      </c>
      <c r="G36" s="289">
        <f ca="1">'Summ of Fund Requisitions'!D34</f>
        <v>0</v>
      </c>
      <c r="H36" s="290" t="e">
        <f>'Summ of Fund Requisitions'!G33</f>
        <v>#VALUE!</v>
      </c>
      <c r="L36" s="323" t="e">
        <f>ROUND(L34*0.2,2)</f>
        <v>#VALUE!</v>
      </c>
    </row>
    <row r="37" spans="1:12" x14ac:dyDescent="0.2">
      <c r="A37" s="176"/>
      <c r="B37" s="177"/>
      <c r="C37" s="178"/>
      <c r="D37" s="179"/>
      <c r="E37" s="180"/>
      <c r="F37" s="289"/>
      <c r="G37" s="289"/>
      <c r="H37" s="290"/>
      <c r="L37" s="320"/>
    </row>
    <row r="38" spans="1:12" x14ac:dyDescent="0.2">
      <c r="A38" s="181" t="s">
        <v>91</v>
      </c>
      <c r="B38" s="177"/>
      <c r="C38" s="178"/>
      <c r="D38" s="179"/>
      <c r="E38" s="180"/>
      <c r="F38" s="289">
        <f ca="1">SUM(F34:F37)</f>
        <v>0</v>
      </c>
      <c r="G38" s="289">
        <f ca="1">SUM(G34:G37)</f>
        <v>0</v>
      </c>
      <c r="H38" s="291" t="e">
        <f>SUM(H34:H37)</f>
        <v>#VALUE!</v>
      </c>
      <c r="L38" s="323" t="e">
        <f>L34+L36</f>
        <v>#VALUE!</v>
      </c>
    </row>
    <row r="39" spans="1:12" x14ac:dyDescent="0.2">
      <c r="A39" s="181"/>
      <c r="B39" s="177"/>
      <c r="C39" s="178"/>
      <c r="D39" s="179"/>
      <c r="E39" s="180"/>
      <c r="F39" s="289"/>
      <c r="G39" s="289"/>
      <c r="H39" s="290"/>
      <c r="L39" s="320"/>
    </row>
    <row r="40" spans="1:12" x14ac:dyDescent="0.2">
      <c r="A40" s="181" t="s">
        <v>92</v>
      </c>
      <c r="B40" s="177"/>
      <c r="C40" s="178"/>
      <c r="D40" s="179"/>
      <c r="E40" s="180"/>
      <c r="F40" s="289">
        <f ca="1">'Summ of Fund Requisitions'!B35</f>
        <v>0</v>
      </c>
      <c r="G40" s="289">
        <f ca="1">'Summ of Fund Requisitions'!D35</f>
        <v>0</v>
      </c>
      <c r="H40" s="291" t="e">
        <f>'Summ of Fund Requisitions'!G35</f>
        <v>#VALUE!</v>
      </c>
      <c r="L40" s="320"/>
    </row>
    <row r="41" spans="1:12" x14ac:dyDescent="0.2">
      <c r="A41" s="181"/>
      <c r="B41" s="177"/>
      <c r="C41" s="178"/>
      <c r="D41" s="179"/>
      <c r="E41" s="180"/>
      <c r="F41" s="289"/>
      <c r="G41" s="289"/>
      <c r="H41" s="290"/>
      <c r="L41" s="320"/>
    </row>
    <row r="42" spans="1:12" ht="15" thickBot="1" x14ac:dyDescent="0.25">
      <c r="A42" s="182" t="s">
        <v>93</v>
      </c>
      <c r="B42" s="183"/>
      <c r="C42" s="184"/>
      <c r="D42" s="185"/>
      <c r="E42" s="186"/>
      <c r="F42" s="292">
        <f ca="1">F40-F38</f>
        <v>0</v>
      </c>
      <c r="G42" s="292">
        <f ca="1">G40-G38</f>
        <v>0</v>
      </c>
      <c r="H42" s="293" t="e">
        <f>H40-H38</f>
        <v>#VALUE!</v>
      </c>
      <c r="L42" s="321"/>
    </row>
    <row r="44" spans="1:12" x14ac:dyDescent="0.2">
      <c r="L44" s="326" t="s">
        <v>229</v>
      </c>
    </row>
  </sheetData>
  <mergeCells count="61">
    <mergeCell ref="L3:L5"/>
    <mergeCell ref="L9:L11"/>
    <mergeCell ref="L15:L17"/>
    <mergeCell ref="L21:L23"/>
    <mergeCell ref="L27:L29"/>
    <mergeCell ref="A3:E3"/>
    <mergeCell ref="A4:A5"/>
    <mergeCell ref="B4:B5"/>
    <mergeCell ref="C4:C5"/>
    <mergeCell ref="E4:E5"/>
    <mergeCell ref="A33:E33"/>
    <mergeCell ref="H9:H11"/>
    <mergeCell ref="I9:I11"/>
    <mergeCell ref="H15:H17"/>
    <mergeCell ref="I15:I17"/>
    <mergeCell ref="I21:I23"/>
    <mergeCell ref="A19:D19"/>
    <mergeCell ref="A13:D13"/>
    <mergeCell ref="A15:E15"/>
    <mergeCell ref="A16:A17"/>
    <mergeCell ref="B16:B17"/>
    <mergeCell ref="C16:C17"/>
    <mergeCell ref="E16:E17"/>
    <mergeCell ref="A21:E21"/>
    <mergeCell ref="F15:F17"/>
    <mergeCell ref="G15:G17"/>
    <mergeCell ref="A7:D7"/>
    <mergeCell ref="A9:E9"/>
    <mergeCell ref="A10:A11"/>
    <mergeCell ref="B10:B11"/>
    <mergeCell ref="C10:C11"/>
    <mergeCell ref="E10:E11"/>
    <mergeCell ref="H21:H23"/>
    <mergeCell ref="F3:F5"/>
    <mergeCell ref="G3:G5"/>
    <mergeCell ref="J3:J5"/>
    <mergeCell ref="F9:F11"/>
    <mergeCell ref="G9:G11"/>
    <mergeCell ref="J9:J11"/>
    <mergeCell ref="H3:H5"/>
    <mergeCell ref="I3:I5"/>
    <mergeCell ref="J15:J17"/>
    <mergeCell ref="J21:J23"/>
    <mergeCell ref="F21:F23"/>
    <mergeCell ref="G21:G23"/>
    <mergeCell ref="A25:D25"/>
    <mergeCell ref="A27:E27"/>
    <mergeCell ref="A22:A23"/>
    <mergeCell ref="F27:F29"/>
    <mergeCell ref="G27:G29"/>
    <mergeCell ref="B22:B23"/>
    <mergeCell ref="C22:C23"/>
    <mergeCell ref="E22:E23"/>
    <mergeCell ref="A31:D31"/>
    <mergeCell ref="H27:H29"/>
    <mergeCell ref="I27:I29"/>
    <mergeCell ref="J27:J29"/>
    <mergeCell ref="A28:A29"/>
    <mergeCell ref="B28:B29"/>
    <mergeCell ref="C28:C29"/>
    <mergeCell ref="E28:E29"/>
  </mergeCells>
  <conditionalFormatting sqref="F42:H42">
    <cfRule type="cellIs" dxfId="17" priority="36" operator="lessThan">
      <formula>0</formula>
    </cfRule>
    <cfRule type="cellIs" dxfId="16" priority="37" operator="greaterThan">
      <formula>0</formula>
    </cfRule>
  </conditionalFormatting>
  <conditionalFormatting sqref="F3:J25 F27:J31">
    <cfRule type="cellIs" dxfId="15" priority="21" operator="lessThan">
      <formula>0</formula>
    </cfRule>
  </conditionalFormatting>
  <conditionalFormatting sqref="J6 J12">
    <cfRule type="cellIs" dxfId="14" priority="30" operator="lessThan">
      <formula>0</formula>
    </cfRule>
    <cfRule type="cellIs" dxfId="13" priority="31" operator="lessThan">
      <formula>0</formula>
    </cfRule>
  </conditionalFormatting>
  <conditionalFormatting sqref="J18">
    <cfRule type="cellIs" dxfId="12" priority="17" operator="lessThan">
      <formula>0</formula>
    </cfRule>
    <cfRule type="cellIs" dxfId="11" priority="18" operator="lessThan">
      <formula>0</formula>
    </cfRule>
  </conditionalFormatting>
  <conditionalFormatting sqref="J24">
    <cfRule type="cellIs" dxfId="10" priority="15" operator="lessThan">
      <formula>0</formula>
    </cfRule>
    <cfRule type="cellIs" dxfId="9" priority="16" operator="lessThan">
      <formula>0</formula>
    </cfRule>
  </conditionalFormatting>
  <conditionalFormatting sqref="J30">
    <cfRule type="cellIs" dxfId="8" priority="10" operator="lessThan">
      <formula>0</formula>
    </cfRule>
    <cfRule type="cellIs" dxfId="7" priority="11" operator="lessThan">
      <formula>0</formula>
    </cfRule>
  </conditionalFormatting>
  <conditionalFormatting sqref="L3:L5">
    <cfRule type="cellIs" dxfId="6" priority="7" operator="lessThan">
      <formula>0</formula>
    </cfRule>
  </conditionalFormatting>
  <conditionalFormatting sqref="L9:L11">
    <cfRule type="cellIs" dxfId="5" priority="6" operator="lessThan">
      <formula>0</formula>
    </cfRule>
  </conditionalFormatting>
  <conditionalFormatting sqref="L15:L17">
    <cfRule type="cellIs" dxfId="4" priority="5" operator="lessThan">
      <formula>0</formula>
    </cfRule>
  </conditionalFormatting>
  <conditionalFormatting sqref="L21:L23">
    <cfRule type="cellIs" dxfId="3" priority="4" operator="lessThan">
      <formula>0</formula>
    </cfRule>
  </conditionalFormatting>
  <conditionalFormatting sqref="L27:L29">
    <cfRule type="cellIs" dxfId="2" priority="3" operator="lessThan">
      <formula>0</formula>
    </cfRule>
  </conditionalFormatting>
  <conditionalFormatting sqref="L42">
    <cfRule type="cellIs" dxfId="1" priority="1" operator="lessThan">
      <formula>0</formula>
    </cfRule>
    <cfRule type="cellIs" dxfId="0" priority="2" operator="greaterThan">
      <formula>0</formula>
    </cfRule>
  </conditionalFormatting>
  <pageMargins left="0.7" right="0.7" top="0.75" bottom="0.75" header="0.3" footer="0.3"/>
  <pageSetup paperSize="9" scale="52" fitToHeight="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 of Fund Requisitions</vt:lpstr>
      <vt:lpstr>EOM</vt:lpstr>
      <vt:lpstr>Equipment</vt:lpstr>
      <vt:lpstr>OOE</vt:lpstr>
      <vt:lpstr>Overseas Travel</vt:lpstr>
      <vt:lpstr>Research Scholarship</vt:lpstr>
      <vt:lpstr>Indirect Costs</vt:lpstr>
      <vt:lpstr>Cumulative Amt Claimed to Date</vt:lpstr>
      <vt:lpstr>EOM!Print_Area</vt:lpstr>
      <vt:lpstr>'Indirect Costs'!Print_Area</vt:lpstr>
      <vt:lpstr>'Overseas Travel'!Print_Area</vt:lpstr>
      <vt:lpstr>'Research Scholarship'!Print_Area</vt:lpstr>
    </vt:vector>
  </TitlesOfParts>
  <Company>Singapore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 CHEW (EMA)</dc:creator>
  <cp:lastModifiedBy>Aswathy Raj</cp:lastModifiedBy>
  <cp:lastPrinted>2016-08-11T01:26:46Z</cp:lastPrinted>
  <dcterms:created xsi:type="dcterms:W3CDTF">2013-07-02T05:56:03Z</dcterms:created>
  <dcterms:modified xsi:type="dcterms:W3CDTF">2023-05-12T10:56:04Z</dcterms:modified>
</cp:coreProperties>
</file>