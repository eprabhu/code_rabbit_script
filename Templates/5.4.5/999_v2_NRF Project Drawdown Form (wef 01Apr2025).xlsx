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14"/>
  <workbookPr defaultThemeVersion="124226"/>
  <mc:AlternateContent xmlns:mc="http://schemas.openxmlformats.org/markup-compatibility/2006">
    <mc:Choice Requires="x15">
      <x15ac:absPath xmlns:x15ac="http://schemas.microsoft.com/office/spreadsheetml/2010/11/ac" url="C:\Users\yongming.ong\Downloads\Letter_Template_Type_Templates\"/>
    </mc:Choice>
  </mc:AlternateContent>
  <xr:revisionPtr revIDLastSave="4" documentId="13_ncr:1_{C2168EF2-FFA1-4E38-A560-5A7AC80C24D2}" xr6:coauthVersionLast="47" xr6:coauthVersionMax="47" xr10:uidLastSave="{DDF5972B-C6C2-4263-A98A-1DDEEB61D8BF}"/>
  <bookViews>
    <workbookView xWindow="-14970" yWindow="-16320" windowWidth="29040" windowHeight="16440" tabRatio="718" firstSheet="2" activeTab="1" xr2:uid="{00000000-000D-0000-FFFF-FFFF00000000}"/>
  </bookViews>
  <sheets>
    <sheet name="Annex C - Reimbursement " sheetId="3" r:id="rId1"/>
    <sheet name="Annex K - Project FSOA" sheetId="4" r:id="rId2"/>
    <sheet name="Annex I1- Advancement" sheetId="2" r:id="rId3"/>
    <sheet name="Annex E-3 Manpower Listing" sheetId="5" r:id="rId4"/>
    <sheet name="Main" sheetId="6" r:id="rId5"/>
  </sheets>
  <definedNames>
    <definedName name="_xlnm.Print_Area" localSheetId="3">'Annex E-3 Manpower Listing'!$A$1:$F$28</definedName>
    <definedName name="_xlnm.Print_Area" localSheetId="1">'Annex K - Project FSOA'!$A$1:$J$70</definedName>
    <definedName name="Z_2C6533C7_057C_4A7C_ABD2_7930463500B1_.wvu.PrintArea" localSheetId="3" hidden="1">'Annex E-3 Manpower Listing'!$A$1:$F$28</definedName>
    <definedName name="Z_5401927F_BD7B_4D49_AE97_64368FC18A60_.wvu.PrintArea" localSheetId="3" hidden="1">'Annex E-3 Manpower Listing'!$A$1:$F$28</definedName>
    <definedName name="Z_92A3E7EB_B758_49DF_97DF_5A8D46E78E41_.wvu.PrintArea" localSheetId="3" hidden="1">'Annex E-3 Manpower Listing'!$A$1:$F$28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1" i="6" l="1"/>
  <c r="F15" i="6" l="1"/>
  <c r="G27" i="4"/>
  <c r="D28" i="5" l="1"/>
  <c r="F40" i="6"/>
  <c r="F43" i="6" s="1"/>
  <c r="G27" i="2" l="1"/>
  <c r="G28" i="3"/>
  <c r="I19" i="3" l="1"/>
  <c r="J24" i="2" l="1"/>
  <c r="I24" i="2"/>
  <c r="G24" i="2"/>
  <c r="G26" i="2" s="1"/>
  <c r="F24" i="2"/>
  <c r="F26" i="2" s="1"/>
  <c r="H27" i="2" s="1"/>
  <c r="E24" i="2"/>
  <c r="E26" i="2" s="1"/>
  <c r="D24" i="2"/>
  <c r="H23" i="2"/>
  <c r="K23" i="2" s="1"/>
  <c r="H22" i="2"/>
  <c r="K22" i="2" s="1"/>
  <c r="H21" i="2"/>
  <c r="K21" i="2" s="1"/>
  <c r="H20" i="2"/>
  <c r="K20" i="2" s="1"/>
  <c r="H19" i="2"/>
  <c r="H24" i="2" s="1"/>
  <c r="H24" i="4"/>
  <c r="H26" i="4" s="1"/>
  <c r="G24" i="4"/>
  <c r="F24" i="4"/>
  <c r="F26" i="4" s="1"/>
  <c r="E24" i="4"/>
  <c r="E26" i="4" s="1"/>
  <c r="D24" i="4"/>
  <c r="D26" i="4" s="1"/>
  <c r="I22" i="4"/>
  <c r="J22" i="4" s="1"/>
  <c r="I21" i="4"/>
  <c r="J21" i="4" s="1"/>
  <c r="I20" i="4"/>
  <c r="J20" i="4" s="1"/>
  <c r="I19" i="4"/>
  <c r="J19" i="4" s="1"/>
  <c r="I18" i="4"/>
  <c r="J18" i="4" s="1"/>
  <c r="H25" i="3"/>
  <c r="H27" i="3" s="1"/>
  <c r="G25" i="3"/>
  <c r="G27" i="3" s="1"/>
  <c r="F25" i="3"/>
  <c r="F30" i="3" s="1"/>
  <c r="E25" i="3"/>
  <c r="D25" i="3"/>
  <c r="I23" i="3"/>
  <c r="I22" i="3"/>
  <c r="I21" i="3"/>
  <c r="I20" i="3"/>
  <c r="E27" i="4" a="1"/>
  <c r="E27" i="2" a="1"/>
  <c r="H28" i="3" a="1"/>
  <c r="H27" i="4" a="1"/>
  <c r="D27" i="4" a="1"/>
  <c r="E27" i="2" l="1"/>
  <c r="E29" i="2" s="1"/>
  <c r="D27" i="4"/>
  <c r="D29" i="4" s="1"/>
  <c r="H27" i="4"/>
  <c r="H29" i="4" s="1"/>
  <c r="E27" i="4"/>
  <c r="E29" i="4" s="1"/>
  <c r="H28" i="3"/>
  <c r="I28" i="3" s="1"/>
  <c r="I26" i="2"/>
  <c r="K19" i="2"/>
  <c r="K24" i="2" s="1"/>
  <c r="G26" i="4"/>
  <c r="I25" i="3"/>
  <c r="G30" i="3"/>
  <c r="D27" i="3"/>
  <c r="D30" i="3" s="1"/>
  <c r="H26" i="2"/>
  <c r="H29" i="2"/>
  <c r="J24" i="4"/>
  <c r="J26" i="2"/>
  <c r="F29" i="2"/>
  <c r="G29" i="2"/>
  <c r="I24" i="4"/>
  <c r="D26" i="2"/>
  <c r="E27" i="3"/>
  <c r="E30" i="3" s="1"/>
  <c r="F27" i="3"/>
  <c r="I27" i="3" s="1"/>
  <c r="F29" i="4"/>
  <c r="J27" i="2" a="1"/>
  <c r="D27" i="2" a="1"/>
  <c r="I27" i="2" a="1"/>
  <c r="J27" i="2" l="1"/>
  <c r="K27" i="2" s="1"/>
  <c r="K29" i="2" s="1"/>
  <c r="K32" i="2" s="1"/>
  <c r="K34" i="2" s="1"/>
  <c r="D27" i="2"/>
  <c r="D29" i="2" s="1"/>
  <c r="I27" i="2"/>
  <c r="I29" i="2" s="1"/>
  <c r="H30" i="3"/>
  <c r="I30" i="3"/>
  <c r="I32" i="3" s="1"/>
  <c r="I26" i="4"/>
  <c r="G29" i="4"/>
  <c r="I29" i="4" s="1"/>
  <c r="J29" i="4" s="1"/>
  <c r="J32" i="4" s="1"/>
  <c r="J34" i="4" s="1"/>
  <c r="K26" i="2"/>
  <c r="I27" i="4" a="1"/>
  <c r="J29" i="2" l="1"/>
  <c r="I27" i="4"/>
  <c r="J26" i="4"/>
  <c r="J27" i="4" a="1"/>
  <c r="J27"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Vaikunda Raja</author>
    <author>Kyaw Khaung Joe</author>
  </authors>
  <commentList>
    <comment ref="A1" authorId="0" shapeId="0" xr:uid="{C3E8E501-55EB-46D8-8BA8-A1952F148BA2}">
      <text>
        <r>
          <rPr>
            <b/>
            <sz val="9"/>
            <color indexed="81"/>
            <rFont val="Tahoma"/>
            <family val="2"/>
          </rPr>
          <t>jx:area(lastCell="K18")</t>
        </r>
      </text>
    </comment>
    <comment ref="D19" authorId="1" shapeId="0" xr:uid="{0ABC1C08-13A4-4A55-B803-9DC3A88F37CC}">
      <text>
        <r>
          <rPr>
            <sz val="9"/>
            <color indexed="81"/>
            <rFont val="Tahoma"/>
            <family val="2"/>
          </rPr>
          <t xml:space="preserve">jx:area(lastCell="K19")
jx:each (items="claimVO.claimSummary" var="summary" lastCell="K19" select="summary.budgetCategory.code == 'EOM'")
</t>
        </r>
      </text>
    </comment>
    <comment ref="D20" authorId="1" shapeId="0" xr:uid="{329B2FFF-26CE-4F61-9B57-28E4479E5945}">
      <text>
        <r>
          <rPr>
            <b/>
            <sz val="9"/>
            <color indexed="81"/>
            <rFont val="Tahoma"/>
            <family val="2"/>
          </rPr>
          <t>jx:area(lastCell="K20")
jx:each (items="claimVO.claimSummary" var="summary" lastCell="K20" select="summary.budgetCategory.code == 'EQT'")</t>
        </r>
      </text>
    </comment>
    <comment ref="D21" authorId="1" shapeId="0" xr:uid="{F34F82BE-23D1-4F93-B72E-32B74E677891}">
      <text>
        <r>
          <rPr>
            <b/>
            <sz val="9"/>
            <color indexed="81"/>
            <rFont val="Tahoma"/>
            <family val="2"/>
          </rPr>
          <t xml:space="preserve">jx:area(lastCell="K21")
</t>
        </r>
      </text>
    </comment>
    <comment ref="D22" authorId="1" shapeId="0" xr:uid="{FF79CE1E-E635-4AA7-93F4-54464798CDCD}">
      <text>
        <r>
          <rPr>
            <sz val="9"/>
            <color indexed="81"/>
            <rFont val="Tahoma"/>
            <family val="2"/>
          </rPr>
          <t>jx:area(lastCell="K22")
jx:each (items="claimVO.claimSummary" var="summary" lastCell="K22" select="summary.budgetCategory.code == 'OST'")</t>
        </r>
      </text>
    </comment>
    <comment ref="D23" authorId="1" shapeId="0" xr:uid="{F0B4FB89-83DC-4147-B323-AD02D4984B01}">
      <text>
        <r>
          <rPr>
            <b/>
            <sz val="9"/>
            <color indexed="81"/>
            <rFont val="Tahoma"/>
            <family val="2"/>
          </rPr>
          <t>jx:area(lastCell="K23")
jx:each (items="claimVO.claimSummary" var="summary" lastCell="K23" select="summary.budgetCategory.code == 'RSS'")</t>
        </r>
        <r>
          <rPr>
            <sz val="9"/>
            <color indexed="81"/>
            <rFont val="Tahoma"/>
            <family val="2"/>
          </rPr>
          <t xml:space="preserve">
</t>
        </r>
      </text>
    </comment>
    <comment ref="A24" authorId="1" shapeId="0" xr:uid="{73E50037-810E-4B60-9D67-67FD1A4CDA95}">
      <text>
        <t xml:space="preserve">jx:area(lastCell="K63")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Vaikunda Raja</author>
    <author>Kyaw Khaung Joe</author>
  </authors>
  <commentList>
    <comment ref="A1" authorId="0" shapeId="0" xr:uid="{38D89715-36B9-4817-AB7F-ADA9EBFAA5C2}">
      <text>
        <r>
          <rPr>
            <b/>
            <sz val="9"/>
            <color indexed="81"/>
            <rFont val="Tahoma"/>
            <family val="2"/>
          </rPr>
          <t>jx:area(lastCell="J17")</t>
        </r>
      </text>
    </comment>
    <comment ref="D18" authorId="1" shapeId="0" xr:uid="{678CC379-55B3-4D5D-97CC-EEA6323E4C6E}">
      <text>
        <r>
          <rPr>
            <sz val="9"/>
            <color indexed="81"/>
            <rFont val="Tahoma"/>
            <family val="2"/>
          </rPr>
          <t>jx:area(lastCell="J18")
jx:each (items="claimVO.claimSummary" var="summary" lastCell="J18" select="summary.budgetCategory.code == 'EOM'")</t>
        </r>
      </text>
    </comment>
    <comment ref="D19" authorId="1" shapeId="0" xr:uid="{8C5A0F66-E91B-40C2-9F5F-3D403E0B88D1}">
      <text>
        <r>
          <rPr>
            <sz val="9"/>
            <color indexed="81"/>
            <rFont val="Tahoma"/>
            <family val="2"/>
          </rPr>
          <t xml:space="preserve">jx:area(lastCell="J19")
jx:each (items="claimVO.claimSummary" var="summary" lastCell="J19" select="summary.budgetCategory.code == 'EQT'")
</t>
        </r>
      </text>
    </comment>
    <comment ref="D20" authorId="1" shapeId="0" xr:uid="{E46C7A88-3F0C-40CA-B9F6-F0821E139F20}">
      <text>
        <r>
          <rPr>
            <sz val="9"/>
            <color indexed="81"/>
            <rFont val="Tahoma"/>
            <family val="2"/>
          </rPr>
          <t xml:space="preserve">jx:area(lastCell="J20")
</t>
        </r>
      </text>
    </comment>
    <comment ref="D21" authorId="1" shapeId="0" xr:uid="{1264B32C-4C43-4A8C-A0CE-4FDA390A3E9E}">
      <text>
        <r>
          <rPr>
            <sz val="9"/>
            <color indexed="81"/>
            <rFont val="Tahoma"/>
            <family val="2"/>
          </rPr>
          <t xml:space="preserve">jx:area(lastCell="J21")
jx:each (items="claimVO.claimSummary" var="summary" lastCell="J21" select="summary.budgetCategory.code == 'OST'")
</t>
        </r>
      </text>
    </comment>
    <comment ref="D22" authorId="1" shapeId="0" xr:uid="{21FC6658-6FF4-45F1-AE52-CC68F857A188}">
      <text>
        <r>
          <rPr>
            <sz val="9"/>
            <color indexed="81"/>
            <rFont val="Tahoma"/>
            <family val="2"/>
          </rPr>
          <t xml:space="preserve">jx:area(lastCell="J22")
jx:each (items="claimVO.claimSummary" var="summary" lastCell="J22" select="summary.budgetCategory.code == 'RSS'")
</t>
        </r>
      </text>
    </comment>
    <comment ref="A23" authorId="1" shapeId="0" xr:uid="{981DCCC6-89A9-40EA-AA30-E87C2C24B3D4}">
      <text>
        <t xml:space="preserve">jx:area(lastCell="J70")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Vaikunda Raja</author>
    <author>Kyaw Khaung Joe</author>
  </authors>
  <commentList>
    <comment ref="A1" authorId="0" shapeId="0" xr:uid="{9F98A34E-86F6-4F27-8CE8-54C926C2B0BB}">
      <text>
        <r>
          <rPr>
            <b/>
            <sz val="9"/>
            <color indexed="81"/>
            <rFont val="Tahoma"/>
            <family val="2"/>
          </rPr>
          <t>jx:area(lastCell="M18")</t>
        </r>
      </text>
    </comment>
    <comment ref="D19" authorId="1" shapeId="0" xr:uid="{A2B97565-1FF2-4EF7-B751-D387BFC54D1B}">
      <text>
        <r>
          <rPr>
            <sz val="9"/>
            <color indexed="81"/>
            <rFont val="Tahoma"/>
            <family val="2"/>
          </rPr>
          <t xml:space="preserve">jx:area(lastCell="M19")
jx:each (items="claimVO.claimSummary" var="summary" lastCell="M19" select="summary.budgetCategory.code == 'EOM'")
</t>
        </r>
      </text>
    </comment>
    <comment ref="D20" authorId="1" shapeId="0" xr:uid="{93B5C109-7A5F-4A70-B0C6-CD9D609B4864}">
      <text>
        <r>
          <rPr>
            <b/>
            <sz val="9"/>
            <color indexed="81"/>
            <rFont val="Tahoma"/>
            <family val="2"/>
          </rPr>
          <t>jx:area(lastCell="M20")
jx:each (items="claimVO.claimSummary" var="summary" lastCell="M20" select="summary.budgetCategory.code == 'EQT'")</t>
        </r>
      </text>
    </comment>
    <comment ref="D21" authorId="1" shapeId="0" xr:uid="{9F6D7658-F260-4A1F-B2F3-59BE4BBBC3F5}">
      <text>
        <r>
          <rPr>
            <b/>
            <sz val="9"/>
            <color indexed="81"/>
            <rFont val="Tahoma"/>
            <family val="2"/>
          </rPr>
          <t xml:space="preserve">jx:area(lastCell="M21")
</t>
        </r>
      </text>
    </comment>
    <comment ref="D22" authorId="1" shapeId="0" xr:uid="{0B4C0698-639F-4A4F-86CA-E825121646C3}">
      <text>
        <r>
          <rPr>
            <sz val="9"/>
            <color indexed="81"/>
            <rFont val="Tahoma"/>
            <family val="2"/>
          </rPr>
          <t>jx:area(lastCell="M22")
jx:each (items="claimVO.claimSummary" var="summary" lastCell="M22" select="summary.budgetCategory.code == 'OST'")</t>
        </r>
      </text>
    </comment>
    <comment ref="D23" authorId="1" shapeId="0" xr:uid="{C39CE068-FC03-48B6-B96C-76182953412D}">
      <text>
        <r>
          <rPr>
            <b/>
            <sz val="9"/>
            <color indexed="81"/>
            <rFont val="Tahoma"/>
            <family val="2"/>
          </rPr>
          <t>jx:area(lastCell="M23")
jx:each (items="claimVO.claimSummary" var="summary" lastCell="M23" select="summary.budgetCategory.code == 'RSS'")</t>
        </r>
        <r>
          <rPr>
            <sz val="9"/>
            <color indexed="81"/>
            <rFont val="Tahoma"/>
            <family val="2"/>
          </rPr>
          <t xml:space="preserve">
</t>
        </r>
      </text>
    </comment>
    <comment ref="A24" authorId="1" shapeId="0" xr:uid="{2B441D91-B108-4446-AC03-FF2FAEDE615C}">
      <text>
        <t xml:space="preserve">jx:area(lastCell="M70")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Vaikunda Raja</author>
  </authors>
  <commentList>
    <comment ref="A1" authorId="0" shapeId="0" xr:uid="{C25CB025-0F11-4FD7-A7CF-A473DB5D2861}">
      <text>
        <r>
          <rPr>
            <b/>
            <sz val="9"/>
            <color indexed="81"/>
            <rFont val="Tahoma"/>
            <family val="2"/>
          </rPr>
          <t>jx:area(lastCell="F30")</t>
        </r>
      </text>
    </comment>
    <comment ref="A13" authorId="0" shapeId="0" xr:uid="{4B67BF27-07BC-4623-B63B-4E904B606153}">
      <text>
        <r>
          <rPr>
            <b/>
            <sz val="10"/>
            <color indexed="81"/>
            <rFont val="Tahoma"/>
            <family val="2"/>
          </rPr>
          <t>jx:each(items="claimVO.currentManPowerResource" groupBy="fullName"  var="awardManpower" varIndex="index" lastCell="F13")</t>
        </r>
      </text>
    </comment>
    <comment ref="A20" authorId="0" shapeId="0" xr:uid="{961ABD62-67F9-4B6D-80B1-6838CF910ED4}">
      <text>
        <r>
          <rPr>
            <b/>
            <sz val="9"/>
            <color indexed="81"/>
            <rFont val="Tahoma"/>
            <family val="2"/>
          </rPr>
          <t>jx:each(items="claimVO.pastManpowerResource" var="awardManpower" groupBy="fullName" varIndex="index" lastCell="F20")</t>
        </r>
      </text>
    </comment>
    <comment ref="B28" authorId="0" shapeId="0" xr:uid="{8321F059-EB9F-43DC-9299-A45BFB91B89B}">
      <text>
        <r>
          <rPr>
            <b/>
            <sz val="9"/>
            <color indexed="81"/>
            <rFont val="Tahoma"/>
            <family val="2"/>
          </rPr>
          <t xml:space="preserve">jx:each(items="claimVO.approvedManpowerCounts" var="approvedManpower" lastCell="D28")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Vaikunda Raja</author>
  </authors>
  <commentList>
    <comment ref="A1" authorId="0" shapeId="0" xr:uid="{A8BE6B57-4257-4ED1-A898-44F1DD6D3047}">
      <text>
        <r>
          <rPr>
            <b/>
            <sz val="9"/>
            <color indexed="81"/>
            <rFont val="Tahoma"/>
            <family val="2"/>
          </rPr>
          <t>jx:area(lastCell="F48")</t>
        </r>
      </text>
    </comment>
    <comment ref="A11" authorId="0" shapeId="0" xr:uid="{448AE568-AD29-4DD2-A7B2-1BE4CF1BE77D}">
      <text>
        <r>
          <rPr>
            <b/>
            <sz val="9"/>
            <color indexed="81"/>
            <rFont val="Tahoma"/>
            <family val="2"/>
          </rPr>
          <t>jx:each (items="claimVO.claimSummaryDetails" var="summary" lastCell="F13"  select="summary.budgetCategory.code == 'EOM'")
jx:each(items="summary.groupedTransactions" var="transaction"  varIndex="index" lastCell="F13")</t>
        </r>
      </text>
    </comment>
    <comment ref="A13" authorId="0" shapeId="0" xr:uid="{A1F29A8E-EF84-405F-BB3F-7A5B0A1768A1}">
      <text>
        <r>
          <rPr>
            <b/>
            <sz val="9"/>
            <color indexed="81"/>
            <rFont val="Tahoma"/>
            <family val="2"/>
          </rPr>
          <t xml:space="preserve">jx:each(items="transaction.transactions" var="transactions" lastCell="F13")
</t>
        </r>
      </text>
    </comment>
    <comment ref="A18" authorId="0" shapeId="0" xr:uid="{2D314898-E845-42D7-B9DD-56FEA008EEA3}">
      <text>
        <r>
          <rPr>
            <b/>
            <sz val="9"/>
            <color indexed="81"/>
            <rFont val="Tahoma"/>
            <family val="2"/>
          </rPr>
          <t xml:space="preserve">jx:each (items="claimVO.claimSummaryDetails" var="summary" lastCell="F18" select="summary.budgetCategory.code == 'EQT'")
jx:each(items="summary.groupedTransactions" var="transaction" lastCell="F18")
jx:each(items="transaction.transactions" var="transactions" lastCell="F18")
</t>
        </r>
      </text>
    </comment>
    <comment ref="A23" authorId="0" shapeId="0" xr:uid="{D3D436AE-3F77-4AED-B67A-2F6A9AF3F220}">
      <text>
        <r>
          <rPr>
            <b/>
            <sz val="9"/>
            <color indexed="81"/>
            <rFont val="Tahoma"/>
            <family val="2"/>
          </rPr>
          <t>jx:each (items="claimVO.claimSummaryDetails" var="summary" lastCell="F23" select="summary.budgetCategory.code == 'OOE' or summary.budgetCategory.code == 'MAC'")
jx:each(items="summary.groupedTransactions" var="transaction" lastCell="F23")
jx:each(items="transaction.transactions" var="transactions" lastCell="F23")</t>
        </r>
      </text>
    </comment>
    <comment ref="A28" authorId="0" shapeId="0" xr:uid="{9BCD078B-8517-4198-8A72-ADA5722BC8E1}">
      <text>
        <r>
          <rPr>
            <b/>
            <sz val="9"/>
            <color indexed="81"/>
            <rFont val="Tahoma"/>
            <family val="2"/>
          </rPr>
          <t xml:space="preserve">jx:each (items="claimVO.claimSummaryDetails" var="summary" lastCell="F28" select="summary.budgetCategory.code == 'OST'")
jx:each(items="summary.groupedTransactions" var="transaction" lastCell="F28")
jx:each(items="transaction.transactions" var="transactions" lastCell="F28")
</t>
        </r>
        <r>
          <rPr>
            <sz val="9"/>
            <color indexed="81"/>
            <rFont val="Tahoma"/>
            <family val="2"/>
          </rPr>
          <t xml:space="preserve">
</t>
        </r>
      </text>
    </comment>
    <comment ref="A33" authorId="0" shapeId="0" xr:uid="{EA78102D-3F72-41B1-888D-21C4D16252E7}">
      <text>
        <r>
          <rPr>
            <b/>
            <sz val="9"/>
            <color indexed="81"/>
            <rFont val="Tahoma"/>
            <family val="2"/>
          </rPr>
          <t xml:space="preserve">jx:each (items="claimVO.claimSummaryDetails" var="summary" lastCell="F34" select="summary.budgetCategory.code == 'RSS'")
jx:each(items="summary.groupedTransactions" var="transaction" lastCell="F34")
</t>
        </r>
        <r>
          <rPr>
            <sz val="9"/>
            <color indexed="81"/>
            <rFont val="Tahoma"/>
            <family val="2"/>
          </rPr>
          <t xml:space="preserve">
</t>
        </r>
      </text>
    </comment>
    <comment ref="A34" authorId="0" shapeId="0" xr:uid="{0B46507D-FE08-484B-B4C6-4CA38635883A}">
      <text>
        <r>
          <rPr>
            <b/>
            <sz val="9"/>
            <color indexed="81"/>
            <rFont val="Tahoma"/>
            <family val="2"/>
          </rPr>
          <t xml:space="preserve">jx:each(items="transaction.transactions" var="transactions" lastCell="F34")
</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<sst xmlns="http://schemas.openxmlformats.org/spreadsheetml/2006/main" count="407" uniqueCount="177">
  <si>
    <t>Name of Host Institution:</t>
  </si>
  <si>
    <t>Nanyang Technological University</t>
  </si>
  <si>
    <t>NATIONAL RESEARCH FUND DRAWDOWN FOR PROJECT - Reimbursement basis</t>
  </si>
  <si>
    <t>FOR THE MONTHS OF</t>
  </si>
  <si>
    <t>${claimVO.claimStartAndEndYear}</t>
  </si>
  <si>
    <t>Grant Scheme</t>
  </si>
  <si>
    <t xml:space="preserve">${claimVO.claimFundingScheme} </t>
  </si>
  <si>
    <t>Lead PI(s):</t>
  </si>
  <si>
    <t xml:space="preserve">${claimVO.claim.award.principalInvestigator} </t>
  </si>
  <si>
    <t>Project Title:</t>
  </si>
  <si>
    <t>${claimVO.claim.award.title}</t>
  </si>
  <si>
    <t>Project/Award ID:</t>
  </si>
  <si>
    <t>${claimVO.claim.award.sponsorAwardNumber}</t>
  </si>
  <si>
    <t>Project Code:</t>
  </si>
  <si>
    <t>Project Duration:</t>
  </si>
  <si>
    <t xml:space="preserve">${claimVO.claim.award.duration} </t>
  </si>
  <si>
    <t>Project Start Date:</t>
  </si>
  <si>
    <t>${claimVO.awardStartDate}</t>
  </si>
  <si>
    <t>Project End Date:</t>
  </si>
  <si>
    <t>${claimVO.awardEndDate}</t>
  </si>
  <si>
    <t>Vote</t>
  </si>
  <si>
    <t>Original Project Budget</t>
  </si>
  <si>
    <t>Revised Project Budget,
 if applicable</t>
  </si>
  <si>
    <t>Cumulative drawdown
as at</t>
  </si>
  <si>
    <t xml:space="preserve">Cumulative Expenditure 
as at </t>
  </si>
  <si>
    <t xml:space="preserve">Actual Expenditure (*) 
from </t>
  </si>
  <si>
    <t>Funds to be Credited/Disbursed</t>
  </si>
  <si>
    <t>${claimVO.lastClaimEndDate}</t>
  </si>
  <si>
    <t>(a)</t>
  </si>
  <si>
    <t>(b)</t>
  </si>
  <si>
    <t xml:space="preserve">(c) </t>
  </si>
  <si>
    <t xml:space="preserve">(d) </t>
  </si>
  <si>
    <t>(e)</t>
  </si>
  <si>
    <t xml:space="preserve">(f) = (e) + (d) - (c) </t>
  </si>
  <si>
    <t>[Please fill in original Project budget from NRF for thIs Project]</t>
  </si>
  <si>
    <t>[Please fill in revised Project budget from NRF for thIs Project]</t>
  </si>
  <si>
    <t>[Please fill in total cumulative amount claimed from NRF as of this claim. For the 1st request, please key in zero.]</t>
  </si>
  <si>
    <t>[Please fill in total cumulative expenditure as of this claim.]</t>
  </si>
  <si>
    <t>[Please fill in the actual expenditure for this period]</t>
  </si>
  <si>
    <t>[Amount to be claimed for this period. Amount should be same as the Actual Expenditure in this period, unless there are adjustments in prior period.]</t>
  </si>
  <si>
    <t>EOM</t>
  </si>
  <si>
    <t>${summary.originalApprovedBudget}</t>
  </si>
  <si>
    <t>${summary.latestApprovedBudget}</t>
  </si>
  <si>
    <t>${summary.prevClaimsTotalAmount}</t>
  </si>
  <si>
    <t>${summary.amountRequested}</t>
  </si>
  <si>
    <t>Equipment</t>
  </si>
  <si>
    <t>Other Operating Expenses</t>
  </si>
  <si>
    <t>${claimVO.summaryOOE_MACSumValues.originalApprovedBudgetForOOEMAC}</t>
  </si>
  <si>
    <t>${claimVO.summaryOOE_MACSumValues.latestApprovedBudgetForOOEMAC}</t>
  </si>
  <si>
    <t>${claimVO.summaryOOE_MACSumValues.prevClaimsTotalAmountForOOEMAC}</t>
  </si>
  <si>
    <t>${claimVO.summaryOOE_MACSumValues.amountRequestedForOOEMAC}</t>
  </si>
  <si>
    <t>Overseas Travel</t>
  </si>
  <si>
    <t>Research Scholarship</t>
  </si>
  <si>
    <r>
      <rPr>
        <b/>
        <sz val="10"/>
        <rFont val="Arial"/>
        <family val="2"/>
      </rPr>
      <t xml:space="preserve">Sub-total for direct costs </t>
    </r>
    <r>
      <rPr>
        <sz val="10"/>
        <rFont val="Arial"/>
        <family val="2"/>
      </rPr>
      <t xml:space="preserve">
[calculated as (1)+(2)+(3)+(4)+(5)]</t>
    </r>
  </si>
  <si>
    <t>Qualifying approved direct costs for computing indirect costs [(6)-(5)]</t>
  </si>
  <si>
    <r>
      <t>Indirect Costs  [${claimVO.oHPercentage}%</t>
    </r>
    <r>
      <rPr>
        <b/>
        <sz val="10"/>
        <rFont val="Arial"/>
        <family val="2"/>
      </rPr>
      <t xml:space="preserve"> of (7)]</t>
    </r>
    <r>
      <rPr>
        <sz val="10"/>
        <rFont val="Arial"/>
        <family val="2"/>
      </rPr>
      <t xml:space="preserve"> [if applicable]</t>
    </r>
  </si>
  <si>
    <t>${claimVO.summaryCalculations.subTotalOfInDirectCost.subTotalInDirOriginalApproved}</t>
  </si>
  <si>
    <t>${claimVO.summaryCalculations.subTotalOfInDirectCost.subTotalInDirLatestApproved}</t>
  </si>
  <si>
    <t>${claimVO.summaryCalculations.overHeads.overHeadInPrevClaim}</t>
  </si>
  <si>
    <r>
      <rPr>
        <b/>
        <sz val="10"/>
        <rFont val="Arial"/>
        <family val="2"/>
      </rPr>
      <t xml:space="preserve">Total (S$) </t>
    </r>
    <r>
      <rPr>
        <sz val="10"/>
        <rFont val="Arial"/>
        <family val="2"/>
      </rPr>
      <t xml:space="preserve">
[calculated as (6)+(8)]</t>
    </r>
  </si>
  <si>
    <t>Net Funds to be Received</t>
  </si>
  <si>
    <t>*</t>
  </si>
  <si>
    <t>Please provide a system-generated expenditure report to support the Actual Expenditure incurred as stated in column J above.</t>
  </si>
  <si>
    <t>CERTIFICATION</t>
  </si>
  <si>
    <t xml:space="preserve">We hereby certify that the particulars provided above are true and correct, and verified against the original source documents. There is no duplication or double dipping of funds for the same activity that could result in more than 100% of funding. </t>
  </si>
  <si>
    <t>The request has also been made in accordance to the LOA, Guidelines for the Management of Research Grants (or similar) and its terms and conditions.</t>
  </si>
  <si>
    <t>(signature &amp; Date)</t>
  </si>
  <si>
    <t>Name of Senior Finance Officer</t>
  </si>
  <si>
    <t xml:space="preserve">${claimVO.claim.foName}, ${claimVO.claim.foDesignation} </t>
  </si>
  <si>
    <t>(signature)</t>
  </si>
  <si>
    <t>Name of Executive Director of Host Institution or equivalent</t>
  </si>
  <si>
    <t xml:space="preserve">${claimVO.claim.rsoName}, ${claimVO.claim.rsoDesignation}  </t>
  </si>
  <si>
    <r>
      <t xml:space="preserve">Date : </t>
    </r>
    <r>
      <rPr>
        <sz val="11"/>
        <color rgb="FF0000FF"/>
        <rFont val="Arial"/>
        <family val="2"/>
      </rPr>
      <t xml:space="preserve"> ${claimVO.claimSubmissionDate}</t>
    </r>
  </si>
  <si>
    <t>Note: Where Executive Director or equivalent is also the Lead PrincipaI Investigator, the Host Institution shall appoint another non-conflicted person from its management with the requisite approving authority to endorse the fund drawdown form.</t>
  </si>
  <si>
    <t>Please credit the fund to:</t>
  </si>
  <si>
    <t>Bank Name:</t>
  </si>
  <si>
    <t xml:space="preserve">${claimVO.claim.payeeBank}  </t>
  </si>
  <si>
    <t>Bank A/C Holder Name:</t>
  </si>
  <si>
    <t>Bank A/C No.:</t>
  </si>
  <si>
    <t>${claimVO.claim.payeeAccountNumber}</t>
  </si>
  <si>
    <r>
      <t xml:space="preserve">NATIONAL RESEARCH FUND </t>
    </r>
    <r>
      <rPr>
        <b/>
        <u/>
        <sz val="12"/>
        <rFont val="Arial"/>
        <family val="2"/>
      </rPr>
      <t xml:space="preserve">FINAL STATEMENT OF ACCOUNT </t>
    </r>
    <r>
      <rPr>
        <b/>
        <sz val="12"/>
        <rFont val="Arial"/>
        <family val="2"/>
      </rPr>
      <t>FOR PROJECT</t>
    </r>
  </si>
  <si>
    <t>Project/ Award ID:</t>
  </si>
  <si>
    <t>Revised Project Budget,
if applicable</t>
  </si>
  <si>
    <t>Cumulative received 
as at</t>
  </si>
  <si>
    <r>
      <t>Expenditure incurred in the last quarter (</t>
    </r>
    <r>
      <rPr>
        <b/>
        <sz val="10"/>
        <color rgb="FFFF0000"/>
        <rFont val="Arial"/>
        <family val="2"/>
      </rPr>
      <t>*</t>
    </r>
    <r>
      <rPr>
        <b/>
        <sz val="10"/>
        <rFont val="Arial"/>
        <family val="2"/>
      </rPr>
      <t>)</t>
    </r>
  </si>
  <si>
    <t xml:space="preserve">Total Actual Expenditure 
incurred </t>
  </si>
  <si>
    <t>Balance Funds To Be Returned to NRF / 
(To Be Disbursed)</t>
  </si>
  <si>
    <t xml:space="preserve">(d) = (b) + (c) </t>
  </si>
  <si>
    <t xml:space="preserve">(e) = (a) - (d) </t>
  </si>
  <si>
    <t>[Please fill in total cumulative amount claimed from NRF as of this claim.]</t>
  </si>
  <si>
    <t>[Amount to be claimed for this period.]</t>
  </si>
  <si>
    <t>Indirect Costs [${claimVO.oHPercentage}% of (7)] [if applicable]</t>
  </si>
  <si>
    <r>
      <rPr>
        <b/>
        <sz val="10"/>
        <rFont val="Arial"/>
        <family val="2"/>
      </rPr>
      <t xml:space="preserve">Total Expenditure (S$) </t>
    </r>
    <r>
      <rPr>
        <sz val="10"/>
        <rFont val="Arial"/>
        <family val="2"/>
      </rPr>
      <t xml:space="preserve">
[calculated as (6)+(8)]</t>
    </r>
  </si>
  <si>
    <t># Less Bank interest earned (if applicable)</t>
  </si>
  <si>
    <t># Enclose Bank Statement</t>
  </si>
  <si>
    <t>Please provide a system-generated expenditure report to support the Actual Expenditure incurred as stated in column H above.</t>
  </si>
  <si>
    <t>${claimVO.claim.foName}</t>
  </si>
  <si>
    <t xml:space="preserve">${claimVO.claim.foDesignation} </t>
  </si>
  <si>
    <t>${claimVO.claim.rsoName}</t>
  </si>
  <si>
    <t xml:space="preserve">${claimVO.claim.rsoDesignation}  </t>
  </si>
  <si>
    <t>NATIONAL RESEARCH FUND DRAWDOWN FOR PROJECT - Advancement basis</t>
  </si>
  <si>
    <t>Cumulative drawdown 
as at</t>
  </si>
  <si>
    <t xml:space="preserve">Actual Fund Balance 
as at </t>
  </si>
  <si>
    <t>Actual Expenditure 
from (*)</t>
  </si>
  <si>
    <t>Projected Expenditure 
for</t>
  </si>
  <si>
    <t>(c) = (a) - (b)</t>
  </si>
  <si>
    <t>(d)</t>
  </si>
  <si>
    <t>(f) = (e) - (c)</t>
  </si>
  <si>
    <t xml:space="preserve">[Please fill in the projected expenditure for the period] </t>
  </si>
  <si>
    <t>Indirect Costs  [${claimVO.oHPercentage}% of (7)] [if applicable]</t>
  </si>
  <si>
    <t>Please provide a system-generated expenditure report to support the Actual Expenditure incurred as stated in colum K above.</t>
  </si>
  <si>
    <t>NATIONAL RESEARCH FOUNDATION QUARTERLY UPDATE ON MANPOWER LISTING FORM FOR PROGRAMME/PROJECT</t>
  </si>
  <si>
    <t>(e.g. Jan - Mar 2022)</t>
  </si>
  <si>
    <t xml:space="preserve">NAME OF GRANT SCHEME/PROJECT : </t>
  </si>
  <si>
    <t>NAME OF INSTITUTION / ORGANISATION :</t>
  </si>
  <si>
    <r>
      <t xml:space="preserve">Important Notes:
</t>
    </r>
    <r>
      <rPr>
        <sz val="12"/>
        <rFont val="Arial"/>
        <family val="2"/>
      </rPr>
      <t xml:space="preserve">1. The manpower list should contain </t>
    </r>
    <r>
      <rPr>
        <b/>
        <i/>
        <sz val="12"/>
        <rFont val="Arial"/>
        <family val="2"/>
      </rPr>
      <t xml:space="preserve">all staff </t>
    </r>
    <r>
      <rPr>
        <sz val="12"/>
        <rFont val="Arial"/>
        <family val="2"/>
      </rPr>
      <t xml:space="preserve">employed under the programme </t>
    </r>
    <r>
      <rPr>
        <b/>
        <sz val="12"/>
        <rFont val="Arial"/>
        <family val="2"/>
      </rPr>
      <t xml:space="preserve">including those whose employment has ended.
</t>
    </r>
    <r>
      <rPr>
        <sz val="12"/>
        <rFont val="Arial"/>
        <family val="2"/>
      </rPr>
      <t xml:space="preserve">2. </t>
    </r>
    <r>
      <rPr>
        <b/>
        <sz val="12"/>
        <rFont val="Arial"/>
        <family val="2"/>
      </rPr>
      <t xml:space="preserve">Both tables should be filled accordingly.  Fund disbursement may be delayed/withheld if this form is not completely/properly filled accordingly.
</t>
    </r>
    <r>
      <rPr>
        <sz val="12"/>
        <rFont val="Arial"/>
        <family val="2"/>
      </rPr>
      <t xml:space="preserve">
</t>
    </r>
    <r>
      <rPr>
        <u/>
        <sz val="12"/>
        <rFont val="Arial"/>
        <family val="2"/>
      </rPr>
      <t>a) Current Headcount</t>
    </r>
    <r>
      <rPr>
        <sz val="12"/>
        <rFont val="Arial"/>
        <family val="2"/>
      </rPr>
      <t xml:space="preserve">
3. If new staff are to be employed during the financial year, please add on under the "Current Headcount" list.
4. For staff </t>
    </r>
    <r>
      <rPr>
        <b/>
        <i/>
        <sz val="12"/>
        <rFont val="Arial"/>
        <family val="2"/>
      </rPr>
      <t>transferred</t>
    </r>
    <r>
      <rPr>
        <sz val="12"/>
        <rFont val="Arial"/>
        <family val="2"/>
      </rPr>
      <t xml:space="preserve"> from other funding sources, please indicate the </t>
    </r>
    <r>
      <rPr>
        <b/>
        <sz val="12"/>
        <rFont val="Arial"/>
        <family val="2"/>
      </rPr>
      <t>start date of employment for this project only</t>
    </r>
    <r>
      <rPr>
        <sz val="12"/>
        <rFont val="Arial"/>
        <family val="2"/>
      </rPr>
      <t xml:space="preserve">.
</t>
    </r>
    <r>
      <rPr>
        <u/>
        <sz val="12"/>
        <rFont val="Arial"/>
        <family val="2"/>
      </rPr>
      <t>b) Past Headcount</t>
    </r>
    <r>
      <rPr>
        <sz val="12"/>
        <rFont val="Arial"/>
        <family val="2"/>
      </rPr>
      <t xml:space="preserve">
5. Please list all staff whose employment has ended under the "Past Headcount" list.
</t>
    </r>
    <r>
      <rPr>
        <u/>
        <sz val="12"/>
        <rFont val="Arial"/>
        <family val="2"/>
      </rPr>
      <t>c) Summary of Manpower</t>
    </r>
    <r>
      <rPr>
        <sz val="12"/>
        <rFont val="Arial"/>
        <family val="2"/>
      </rPr>
      <t xml:space="preserve">
6. Please provide the total number of approved and actual staff (by category) employed under the programme. 
</t>
    </r>
    <r>
      <rPr>
        <b/>
        <sz val="12"/>
        <rFont val="Arial"/>
        <family val="2"/>
      </rPr>
      <t/>
    </r>
  </si>
  <si>
    <t>S/N</t>
  </si>
  <si>
    <t>Name of Staff</t>
  </si>
  <si>
    <t>Designation</t>
  </si>
  <si>
    <t>Institution</t>
  </si>
  <si>
    <t>Start Date of Employment 
(dd-mmm-yyyy)</t>
  </si>
  <si>
    <t>End Date of Employment 
(dd-mmm-yyyy)</t>
  </si>
  <si>
    <t>a) Current Headcount</t>
  </si>
  <si>
    <t>${index+1}</t>
  </si>
  <si>
    <t>${awardManpower.item.fullName}</t>
  </si>
  <si>
    <t>${awardManpower.items[0].manpowerJobProfileType.defaultJobTitle}</t>
  </si>
  <si>
    <t>${awardManpower.items[0].chargeStartDate}</t>
  </si>
  <si>
    <t>${awardManpower.items[awardManpower.items.size()-1].chargeEndDate}</t>
  </si>
  <si>
    <t>b) Past Headcount</t>
  </si>
  <si>
    <t xml:space="preserve">c) Summary of Manpower </t>
  </si>
  <si>
    <t>Manpower Category</t>
  </si>
  <si>
    <t>Approved Headcount</t>
  </si>
  <si>
    <t>Actual Headcount</t>
  </si>
  <si>
    <t>${approvedManpower.jobProfileTitle}</t>
  </si>
  <si>
    <t>${approvedManpower.manpowerCount}</t>
  </si>
  <si>
    <t>Details of Drawdown for ${claimVO.claimFundingScheme}</t>
  </si>
  <si>
    <t>NRF Drawdown Request (Reimbursement) for ${claimVO.claimFundingScheme}</t>
  </si>
  <si>
    <r>
      <t xml:space="preserve">FOR THE PERIOD OF </t>
    </r>
    <r>
      <rPr>
        <b/>
        <u/>
        <sz val="11"/>
        <color rgb="FF0000FF"/>
        <rFont val="Arial"/>
        <family val="2"/>
      </rPr>
      <t>${claimVO.claimStartAndEndYear}</t>
    </r>
  </si>
  <si>
    <r>
      <t xml:space="preserve">Host Institution:  </t>
    </r>
    <r>
      <rPr>
        <b/>
        <sz val="11"/>
        <color rgb="FF0000FF"/>
        <rFont val="Arial"/>
        <family val="2"/>
      </rPr>
      <t>Nanyang Technological University</t>
    </r>
  </si>
  <si>
    <r>
      <t xml:space="preserve">Name of Lead PI and Award No.:  </t>
    </r>
    <r>
      <rPr>
        <b/>
        <sz val="11"/>
        <color rgb="FF0000FF"/>
        <rFont val="Arial"/>
        <family val="2"/>
      </rPr>
      <t>${claimVO.claim.award.principalInvestigator} ${claimVO.claim.award.sponsorAwardNumber} ${claimVO.claim.accountNumber}</t>
    </r>
  </si>
  <si>
    <t>Invoice Date</t>
  </si>
  <si>
    <t>Description of Expenditure Items</t>
  </si>
  <si>
    <t>Date of Original/Revised Budget Approval</t>
  </si>
  <si>
    <t xml:space="preserve"> Indicate Description of Original/Revised Line Item that is Matched to this Claim</t>
  </si>
  <si>
    <t>Total Amount Requested</t>
  </si>
  <si>
    <t>A.</t>
  </si>
  <si>
    <t>Manpower (EOM)</t>
  </si>
  <si>
    <t>${transaction.manpowerFullName}</t>
  </si>
  <si>
    <t>${transaction.manpowerJobDescription}</t>
  </si>
  <si>
    <t>${transactions.invoiceDate}</t>
  </si>
  <si>
    <t>${transactions.descriptionOfExpenditure}</t>
  </si>
  <si>
    <t>${(summary.internalOrderCode).substring(15, 20)}</t>
  </si>
  <si>
    <t>${transactions.adjustedTotal}</t>
  </si>
  <si>
    <t>Total for this quarter</t>
  </si>
  <si>
    <t>B.</t>
  </si>
  <si>
    <t>Equipment (EQP)</t>
  </si>
  <si>
    <t>Total for this Quarter</t>
  </si>
  <si>
    <t>$[SUM(U_(F18,F19))]</t>
  </si>
  <si>
    <t>C.</t>
  </si>
  <si>
    <t>Other Operating Expenses (OOE)</t>
  </si>
  <si>
    <t>$[SUM(U_(F23,F24))]</t>
  </si>
  <si>
    <t>D.</t>
  </si>
  <si>
    <t>Overseas Travel (OT)</t>
  </si>
  <si>
    <t>$[SUM(U_(F28,F29))]</t>
  </si>
  <si>
    <t>E.</t>
  </si>
  <si>
    <t>Research Scholarship (RS)</t>
  </si>
  <si>
    <t>${transactions.totalAmount}</t>
  </si>
  <si>
    <t>$[SUM(U_(F34,F35))]</t>
  </si>
  <si>
    <t>F.</t>
  </si>
  <si>
    <r>
      <t>SUBTOTAL for Direct Costs</t>
    </r>
    <r>
      <rPr>
        <b/>
        <i/>
        <sz val="11"/>
        <color theme="1"/>
        <rFont val="Arial"/>
        <family val="2"/>
      </rPr>
      <t xml:space="preserve"> (calculated as A+B+C+D+E)</t>
    </r>
  </si>
  <si>
    <t>$[SUM(U_(F15,F20,F25,F30,F36))]</t>
  </si>
  <si>
    <t xml:space="preserve">G. </t>
  </si>
  <si>
    <r>
      <t xml:space="preserve">Qualifying approved direct costs for computing 'Indirect Costs (Overheads)' </t>
    </r>
    <r>
      <rPr>
        <i/>
        <sz val="11"/>
        <color theme="1"/>
        <rFont val="Arial"/>
        <family val="2"/>
      </rPr>
      <t>(F-E)</t>
    </r>
  </si>
  <si>
    <t>H.</t>
  </si>
  <si>
    <r>
      <t>Indirect Costs (Overheads)</t>
    </r>
    <r>
      <rPr>
        <i/>
        <sz val="11"/>
        <color theme="1"/>
        <rFont val="Arial"/>
        <family val="2"/>
      </rPr>
      <t xml:space="preserve"> (${claimVO.oHPercentage}% of G)</t>
    </r>
  </si>
  <si>
    <t>${claimVO.oHPercentage}</t>
  </si>
  <si>
    <r>
      <t xml:space="preserve">TOTAL EXPENDITURE </t>
    </r>
    <r>
      <rPr>
        <i/>
        <sz val="11"/>
        <color theme="1"/>
        <rFont val="Arial"/>
        <family val="2"/>
      </rPr>
      <t>(calculated as F+H)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</si>
</sst>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409]d/mmm/yyyy;@"/>
    <numFmt numFmtId="167" formatCode="[$-14809]d\ mmm\ yyyy;@"/>
    <numFmt numFmtId="168" formatCode="_-[$$-1004]* #,##0.00_-;\-[$$-1004]* #,##0.00_-;_-[$$-1004]* &quot;-&quot;??_-;_-@_-"/>
    <numFmt numFmtId="169" formatCode="dd\/mm\/yyyy"/>
    <numFmt numFmtId="170" formatCode="dd/mmm/yyyy"/>
    <numFmt numFmtId="171" formatCode="[$-14809]dd/mm/yyyy;@"/>
    <numFmt numFmtId="172" formatCode="&quot;$&quot;#,##0.00;[Red]\(&quot;$&quot;#,##0.00\)"/>
  </numFmts>
  <fonts count="51">
    <font>
      <sz val="11"/>
      <color theme="1"/>
      <name val="Calibri"/>
      <family val="2"/>
      <scheme val="minor"/>
    </font>
    <font>
      <sz val="11"/>
      <color theme="1"/>
      <name val="Calibri"/>
      <family val="2"/>
      <scheme val="minor"/>
    </font>
    <font>
      <sz val="10"/>
      <name val="Arial"/>
      <family val="2"/>
    </font>
    <font>
      <sz val="11"/>
      <name val="Times New Roman"/>
      <family val="1"/>
    </font>
    <font>
      <b/>
      <sz val="10"/>
      <name val="Arial"/>
      <family val="2"/>
    </font>
    <font>
      <sz val="11"/>
      <name val="Arial"/>
      <family val="2"/>
    </font>
    <font>
      <b/>
      <u/>
      <sz val="11"/>
      <name val="Arial"/>
      <family val="2"/>
    </font>
    <font>
      <b/>
      <sz val="11"/>
      <name val="Arial"/>
      <family val="2"/>
    </font>
    <font>
      <b/>
      <sz val="12"/>
      <name val="Arial"/>
      <family val="2"/>
    </font>
    <font>
      <sz val="12"/>
      <name val="Arial"/>
      <family val="2"/>
    </font>
    <font>
      <b/>
      <sz val="12"/>
      <color theme="1"/>
      <name val="Arial"/>
      <family val="2"/>
    </font>
    <font>
      <b/>
      <u/>
      <sz val="12"/>
      <name val="Arial"/>
      <family val="2"/>
    </font>
    <font>
      <b/>
      <sz val="10"/>
      <color rgb="FFFF0000"/>
      <name val="Arial"/>
      <family val="2"/>
    </font>
    <font>
      <sz val="12"/>
      <color theme="1"/>
      <name val="Arial"/>
      <family val="2"/>
    </font>
    <font>
      <b/>
      <i/>
      <sz val="12"/>
      <name val="Arial"/>
      <family val="2"/>
    </font>
    <font>
      <u/>
      <sz val="12"/>
      <name val="Arial"/>
      <family val="2"/>
    </font>
    <font>
      <i/>
      <sz val="12"/>
      <color theme="1"/>
      <name val="Arial"/>
      <family val="2"/>
    </font>
    <font>
      <sz val="10"/>
      <color theme="3"/>
      <name val="Arial"/>
      <family val="2"/>
    </font>
    <font>
      <sz val="10"/>
      <color rgb="FFFF0000"/>
      <name val="Arial"/>
      <family val="2"/>
    </font>
    <font>
      <sz val="11"/>
      <color rgb="FFFF0000"/>
      <name val="Calibri"/>
      <family val="2"/>
      <scheme val="minor"/>
    </font>
    <font>
      <sz val="12"/>
      <color rgb="FF0000FF"/>
      <name val="Arial"/>
      <family val="2"/>
    </font>
    <font>
      <b/>
      <sz val="12"/>
      <color rgb="FF0000FF"/>
      <name val="Arial"/>
      <family val="2"/>
    </font>
    <font>
      <sz val="9"/>
      <color indexed="81"/>
      <name val="Tahoma"/>
      <family val="2"/>
    </font>
    <font>
      <b/>
      <sz val="9"/>
      <color indexed="81"/>
      <name val="Tahoma"/>
      <family val="2"/>
    </font>
    <font>
      <sz val="10"/>
      <color rgb="FF0000FF"/>
      <name val="Arial"/>
      <family val="2"/>
    </font>
    <font>
      <sz val="11"/>
      <color rgb="FF0000FF"/>
      <name val="Arial"/>
      <family val="2"/>
    </font>
    <font>
      <b/>
      <sz val="11"/>
      <color rgb="FF0000FF"/>
      <name val="Arial"/>
      <family val="2"/>
    </font>
    <font>
      <b/>
      <sz val="10"/>
      <color indexed="81"/>
      <name val="Tahoma"/>
      <family val="2"/>
    </font>
    <font>
      <sz val="11"/>
      <color theme="1"/>
      <name val="Times New Roman"/>
      <family val="1"/>
    </font>
    <font>
      <b/>
      <sz val="11"/>
      <color theme="1"/>
      <name val="Calibri"/>
      <family val="2"/>
      <scheme val="minor"/>
    </font>
    <font>
      <b/>
      <sz val="13"/>
      <color theme="1"/>
      <name val="Arial"/>
      <family val="2"/>
    </font>
    <font>
      <b/>
      <sz val="11"/>
      <color theme="1"/>
      <name val="Arial"/>
      <family val="2"/>
    </font>
    <font>
      <sz val="11"/>
      <name val="Calibri"/>
      <family val="2"/>
      <scheme val="minor"/>
    </font>
    <font>
      <b/>
      <u/>
      <sz val="11"/>
      <color rgb="FF0000FF"/>
      <name val="Arial"/>
      <family val="2"/>
    </font>
    <font>
      <b/>
      <i/>
      <sz val="11"/>
      <color theme="1"/>
      <name val="Arial"/>
      <family val="2"/>
    </font>
    <font>
      <b/>
      <sz val="11"/>
      <color rgb="FFFF0000"/>
      <name val="Arial"/>
      <family val="2"/>
    </font>
    <font>
      <sz val="11"/>
      <color rgb="FFFF0000"/>
      <name val="Arial"/>
      <family val="2"/>
    </font>
    <font>
      <sz val="11"/>
      <color theme="1"/>
      <name val="Arial"/>
      <family val="2"/>
    </font>
    <font>
      <i/>
      <sz val="11"/>
      <color rgb="FF0000FF"/>
      <name val="Arial"/>
      <family val="2"/>
    </font>
    <font>
      <sz val="11"/>
      <color indexed="8"/>
      <name val="Calibri"/>
      <family val="2"/>
    </font>
    <font>
      <i/>
      <sz val="11"/>
      <color theme="1"/>
      <name val="Arial"/>
      <family val="2"/>
    </font>
    <font>
      <b/>
      <sz val="11"/>
      <color indexed="9"/>
      <name val="Arial"/>
      <family val="2"/>
    </font>
    <font>
      <b/>
      <i/>
      <sz val="11"/>
      <color rgb="FF0000FF"/>
      <name val="Arial"/>
      <family val="2"/>
    </font>
    <font>
      <sz val="11"/>
      <color rgb="FF000000"/>
      <name val="Arial"/>
      <family val="2"/>
    </font>
    <font>
      <i/>
      <sz val="11"/>
      <color indexed="8"/>
      <name val="Arial"/>
      <family val="2"/>
    </font>
    <font>
      <sz val="11"/>
      <color indexed="8"/>
      <name val="Arial"/>
      <family val="2"/>
    </font>
    <font>
      <sz val="11"/>
      <color rgb="FF0000FF"/>
      <name val="Calibri"/>
      <family val="2"/>
    </font>
    <font>
      <b/>
      <sz val="11"/>
      <color rgb="FF0000FF"/>
      <name val="Calibri"/>
      <family val="2"/>
      <scheme val="minor"/>
    </font>
    <font>
      <b/>
      <sz val="18"/>
      <color rgb="FF48647F"/>
      <name val="Segoe UI"/>
      <family val="2"/>
    </font>
    <font>
      <i/>
      <sz val="11"/>
      <color theme="0"/>
      <name val="Arial"/>
      <family val="2"/>
    </font>
    <font>
      <i/>
      <sz val="11"/>
      <name val="Arial"/>
      <family val="2"/>
    </font>
  </fonts>
  <fills count="10">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rgb="FFD9D9D9"/>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rgb="FFFFFFFF"/>
        <bgColor indexed="64"/>
      </patternFill>
    </fill>
    <fill>
      <patternFill patternType="solid">
        <fgColor theme="5" tint="0.79998168889431442"/>
        <bgColor indexed="64"/>
      </patternFill>
    </fill>
  </fills>
  <borders count="15">
    <border>
      <left/>
      <right/>
      <top/>
      <bottom/>
      <diagonal/>
    </border>
    <border>
      <left/>
      <right/>
      <top/>
      <bottom style="thin">
        <color indexed="64"/>
      </bottom>
      <diagonal/>
    </border>
    <border>
      <left/>
      <right/>
      <top style="thin">
        <color indexed="64"/>
      </top>
      <bottom/>
      <diagonal/>
    </border>
    <border>
      <left/>
      <right/>
      <top style="thin">
        <color indexed="64"/>
      </top>
      <bottom style="double">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indexed="64"/>
      </top>
      <bottom style="thin">
        <color indexed="64"/>
      </bottom>
      <diagonal/>
    </border>
  </borders>
  <cellStyleXfs count="9">
    <xf numFmtId="0" fontId="0" fillId="0" borderId="0"/>
    <xf numFmtId="43" fontId="1" fillId="0" borderId="0" applyFont="0" applyFill="0" applyBorder="0" applyAlignment="0" applyProtection="0"/>
    <xf numFmtId="0" fontId="2" fillId="0" borderId="0"/>
    <xf numFmtId="43" fontId="2" fillId="0" borderId="0" applyFont="0" applyFill="0" applyBorder="0" applyAlignment="0" applyProtection="0"/>
    <xf numFmtId="0" fontId="1" fillId="0" borderId="0"/>
    <xf numFmtId="0" fontId="2" fillId="0" borderId="0"/>
    <xf numFmtId="165" fontId="1" fillId="0" borderId="0" applyFont="0" applyFill="0" applyBorder="0" applyAlignment="0" applyProtection="0"/>
    <xf numFmtId="164" fontId="1" fillId="0" borderId="0" applyFont="0" applyFill="0" applyBorder="0" applyAlignment="0" applyProtection="0"/>
    <xf numFmtId="44" fontId="1" fillId="0" borderId="0" applyFont="0" applyFill="0" applyBorder="0" applyAlignment="0" applyProtection="0"/>
  </cellStyleXfs>
  <cellXfs count="269">
    <xf numFmtId="0" fontId="0" fillId="0" borderId="0" xfId="0"/>
    <xf numFmtId="0" fontId="10" fillId="0" borderId="0" xfId="0" applyFont="1"/>
    <xf numFmtId="0" fontId="8" fillId="0" borderId="0" xfId="0" applyFont="1"/>
    <xf numFmtId="0" fontId="9" fillId="0" borderId="0" xfId="0" applyFont="1"/>
    <xf numFmtId="0" fontId="3" fillId="0" borderId="0" xfId="0" applyFont="1"/>
    <xf numFmtId="0" fontId="5" fillId="0" borderId="0" xfId="0" applyFont="1"/>
    <xf numFmtId="0" fontId="5" fillId="0" borderId="0" xfId="0" applyFont="1" applyAlignment="1">
      <alignment horizontal="right"/>
    </xf>
    <xf numFmtId="0" fontId="6" fillId="0" borderId="0" xfId="0" applyFont="1"/>
    <xf numFmtId="0" fontId="5" fillId="0" borderId="1" xfId="0" applyFont="1" applyBorder="1"/>
    <xf numFmtId="166" fontId="5" fillId="0" borderId="0" xfId="0" applyNumberFormat="1" applyFont="1" applyAlignment="1">
      <alignment horizontal="left"/>
    </xf>
    <xf numFmtId="0" fontId="5" fillId="0" borderId="0" xfId="0" quotePrefix="1" applyFont="1"/>
    <xf numFmtId="0" fontId="7" fillId="0" borderId="0" xfId="0" applyFont="1"/>
    <xf numFmtId="0" fontId="5" fillId="0" borderId="0" xfId="0" applyFont="1" applyAlignment="1">
      <alignment vertical="center"/>
    </xf>
    <xf numFmtId="43" fontId="2" fillId="0" borderId="0" xfId="1" applyFont="1" applyAlignment="1">
      <alignment horizontal="center" vertical="top" wrapText="1"/>
    </xf>
    <xf numFmtId="43" fontId="2" fillId="0" borderId="0" xfId="1" quotePrefix="1" applyFont="1" applyAlignment="1">
      <alignment horizontal="center" vertical="top" wrapText="1"/>
    </xf>
    <xf numFmtId="43" fontId="2" fillId="0" borderId="0" xfId="1" quotePrefix="1" applyFont="1" applyFill="1" applyAlignment="1">
      <alignment horizontal="center" vertical="top" wrapText="1"/>
    </xf>
    <xf numFmtId="39" fontId="2" fillId="0" borderId="0" xfId="0" applyNumberFormat="1" applyFont="1" applyAlignment="1">
      <alignment horizontal="right"/>
    </xf>
    <xf numFmtId="0" fontId="2" fillId="0" borderId="0" xfId="0" applyFont="1" applyAlignment="1">
      <alignment horizontal="right"/>
    </xf>
    <xf numFmtId="0" fontId="2" fillId="0" borderId="0" xfId="0" applyFont="1" applyAlignment="1">
      <alignment horizontal="left" vertical="top"/>
    </xf>
    <xf numFmtId="0" fontId="2" fillId="0" borderId="0" xfId="0" applyFont="1" applyAlignment="1">
      <alignment horizontal="left" vertical="top" wrapText="1"/>
    </xf>
    <xf numFmtId="0" fontId="8" fillId="0" borderId="0" xfId="0" applyFont="1" applyAlignment="1">
      <alignment horizontal="right"/>
    </xf>
    <xf numFmtId="0" fontId="8" fillId="0" borderId="0" xfId="4" applyFont="1" applyAlignment="1">
      <alignment vertical="top"/>
    </xf>
    <xf numFmtId="0" fontId="1" fillId="0" borderId="0" xfId="4"/>
    <xf numFmtId="0" fontId="2" fillId="0" borderId="0" xfId="2"/>
    <xf numFmtId="0" fontId="10" fillId="0" borderId="0" xfId="4" applyFont="1" applyAlignment="1">
      <alignment vertical="top"/>
    </xf>
    <xf numFmtId="0" fontId="13" fillId="0" borderId="0" xfId="4" applyFont="1" applyAlignment="1">
      <alignment vertical="top"/>
    </xf>
    <xf numFmtId="0" fontId="13" fillId="0" borderId="1" xfId="4" applyFont="1" applyBorder="1" applyAlignment="1">
      <alignment vertical="top"/>
    </xf>
    <xf numFmtId="0" fontId="13" fillId="0" borderId="4" xfId="4" applyFont="1" applyBorder="1" applyAlignment="1">
      <alignment vertical="top"/>
    </xf>
    <xf numFmtId="0" fontId="8" fillId="0" borderId="0" xfId="5" applyFont="1" applyAlignment="1">
      <alignment vertical="top" wrapText="1"/>
    </xf>
    <xf numFmtId="0" fontId="16" fillId="0" borderId="0" xfId="4" applyFont="1" applyAlignment="1">
      <alignment vertical="top"/>
    </xf>
    <xf numFmtId="0" fontId="10" fillId="0" borderId="5" xfId="4" applyFont="1" applyBorder="1" applyAlignment="1">
      <alignment vertical="top"/>
    </xf>
    <xf numFmtId="0" fontId="8" fillId="0" borderId="5" xfId="5" applyFont="1" applyBorder="1" applyAlignment="1">
      <alignment horizontal="center" vertical="top" wrapText="1"/>
    </xf>
    <xf numFmtId="0" fontId="13" fillId="0" borderId="5" xfId="4" applyFont="1" applyBorder="1" applyAlignment="1">
      <alignment vertical="top"/>
    </xf>
    <xf numFmtId="0" fontId="8" fillId="0" borderId="5" xfId="5" applyFont="1" applyBorder="1" applyAlignment="1">
      <alignment horizontal="center" vertical="center" wrapText="1"/>
    </xf>
    <xf numFmtId="0" fontId="9" fillId="0" borderId="5" xfId="5" applyFont="1" applyBorder="1" applyAlignment="1">
      <alignment vertical="center"/>
    </xf>
    <xf numFmtId="0" fontId="18" fillId="0" borderId="0" xfId="0" applyFont="1"/>
    <xf numFmtId="43" fontId="2" fillId="0" borderId="0" xfId="1" applyFont="1" applyFill="1" applyAlignment="1">
      <alignment horizontal="center" vertical="top" wrapText="1"/>
    </xf>
    <xf numFmtId="0" fontId="17" fillId="0" borderId="0" xfId="0" applyFont="1" applyAlignment="1">
      <alignment horizontal="center" vertical="top" wrapText="1"/>
    </xf>
    <xf numFmtId="43" fontId="17" fillId="0" borderId="0" xfId="1" applyFont="1" applyFill="1" applyAlignment="1">
      <alignment horizontal="center" vertical="top" wrapText="1"/>
    </xf>
    <xf numFmtId="43" fontId="17" fillId="0" borderId="0" xfId="1" quotePrefix="1" applyFont="1" applyFill="1" applyAlignment="1">
      <alignment horizontal="center" vertical="top" wrapText="1"/>
    </xf>
    <xf numFmtId="0" fontId="2" fillId="0" borderId="0" xfId="0" applyFont="1" applyAlignment="1">
      <alignment horizontal="left" wrapText="1"/>
    </xf>
    <xf numFmtId="0" fontId="7" fillId="0" borderId="0" xfId="0" applyFont="1" applyAlignment="1">
      <alignment horizontal="right" vertical="top"/>
    </xf>
    <xf numFmtId="0" fontId="8" fillId="0" borderId="0" xfId="0" applyFont="1" applyAlignment="1">
      <alignment horizontal="right" vertical="center"/>
    </xf>
    <xf numFmtId="0" fontId="9" fillId="0" borderId="0" xfId="4" applyFont="1" applyAlignment="1">
      <alignment vertical="top"/>
    </xf>
    <xf numFmtId="0" fontId="9" fillId="0" borderId="1" xfId="4" applyFont="1" applyBorder="1" applyAlignment="1">
      <alignment vertical="top"/>
    </xf>
    <xf numFmtId="43" fontId="2" fillId="3" borderId="4" xfId="1" applyFont="1" applyFill="1" applyBorder="1" applyAlignment="1">
      <alignment horizontal="left" vertical="top" wrapText="1"/>
    </xf>
    <xf numFmtId="43" fontId="2" fillId="3" borderId="3" xfId="1" applyFont="1" applyFill="1" applyBorder="1" applyAlignment="1">
      <alignment horizontal="left" wrapText="1"/>
    </xf>
    <xf numFmtId="0" fontId="8" fillId="0" borderId="0" xfId="0" applyFont="1" applyAlignment="1">
      <alignment horizontal="left"/>
    </xf>
    <xf numFmtId="0" fontId="4" fillId="0" borderId="2" xfId="0" applyFont="1" applyBorder="1" applyAlignment="1">
      <alignment horizontal="center" vertical="top" wrapText="1"/>
    </xf>
    <xf numFmtId="43" fontId="4" fillId="0" borderId="2" xfId="1" applyFont="1" applyFill="1" applyBorder="1" applyAlignment="1">
      <alignment horizontal="center" vertical="top" wrapText="1"/>
    </xf>
    <xf numFmtId="43" fontId="4" fillId="0" borderId="2" xfId="1" applyFont="1" applyBorder="1" applyAlignment="1">
      <alignment horizontal="center" vertical="top" wrapText="1"/>
    </xf>
    <xf numFmtId="0" fontId="0" fillId="0" borderId="0" xfId="0" applyAlignment="1">
      <alignment vertical="top"/>
    </xf>
    <xf numFmtId="0" fontId="4" fillId="0" borderId="2" xfId="0" applyFont="1" applyBorder="1" applyAlignment="1">
      <alignment horizontal="left" vertical="top" wrapText="1"/>
    </xf>
    <xf numFmtId="0" fontId="19" fillId="0" borderId="0" xfId="0" applyFont="1"/>
    <xf numFmtId="0" fontId="19" fillId="0" borderId="0" xfId="0" applyFont="1" applyAlignment="1">
      <alignment wrapText="1"/>
    </xf>
    <xf numFmtId="0" fontId="20" fillId="0" borderId="0" xfId="0" applyFont="1"/>
    <xf numFmtId="0" fontId="21" fillId="0" borderId="0" xfId="0" applyFont="1"/>
    <xf numFmtId="0" fontId="25" fillId="0" borderId="0" xfId="4" applyFont="1"/>
    <xf numFmtId="0" fontId="26" fillId="0" borderId="0" xfId="4" applyFont="1" applyAlignment="1">
      <alignment horizontal="left" vertical="center"/>
    </xf>
    <xf numFmtId="0" fontId="20" fillId="0" borderId="1" xfId="4" applyFont="1" applyBorder="1" applyAlignment="1">
      <alignment vertical="top"/>
    </xf>
    <xf numFmtId="0" fontId="21" fillId="0" borderId="1" xfId="4" applyFont="1" applyBorder="1" applyAlignment="1">
      <alignment vertical="top"/>
    </xf>
    <xf numFmtId="0" fontId="13" fillId="0" borderId="5" xfId="4" applyFont="1" applyBorder="1" applyAlignment="1" applyProtection="1">
      <alignment vertical="top"/>
      <protection locked="0"/>
    </xf>
    <xf numFmtId="0" fontId="28" fillId="4" borderId="5" xfId="0" applyFont="1" applyFill="1" applyBorder="1" applyAlignment="1" applyProtection="1">
      <alignment horizontal="left"/>
      <protection locked="0"/>
    </xf>
    <xf numFmtId="0" fontId="28" fillId="0" borderId="5" xfId="0" applyFont="1" applyBorder="1" applyProtection="1">
      <protection locked="0"/>
    </xf>
    <xf numFmtId="0" fontId="13" fillId="0" borderId="7" xfId="5" applyFont="1" applyBorder="1" applyAlignment="1" applyProtection="1">
      <alignment vertical="center"/>
      <protection locked="0"/>
    </xf>
    <xf numFmtId="1" fontId="9" fillId="0" borderId="5" xfId="5" applyNumberFormat="1" applyFont="1" applyBorder="1" applyAlignment="1" applyProtection="1">
      <alignment horizontal="center" vertical="center"/>
      <protection locked="0"/>
    </xf>
    <xf numFmtId="0" fontId="7" fillId="0" borderId="0" xfId="4" applyFont="1"/>
    <xf numFmtId="167" fontId="25" fillId="0" borderId="1" xfId="6" applyNumberFormat="1" applyFont="1" applyFill="1" applyBorder="1" applyAlignment="1">
      <alignment horizontal="center" wrapText="1"/>
    </xf>
    <xf numFmtId="167" fontId="25" fillId="0" borderId="1" xfId="6" quotePrefix="1" applyNumberFormat="1" applyFont="1" applyFill="1" applyBorder="1" applyAlignment="1">
      <alignment horizontal="center" wrapText="1"/>
    </xf>
    <xf numFmtId="4" fontId="24" fillId="0" borderId="0" xfId="0" applyNumberFormat="1" applyFont="1" applyAlignment="1">
      <alignment horizontal="right" vertical="top"/>
    </xf>
    <xf numFmtId="4" fontId="24" fillId="0" borderId="0" xfId="1" applyNumberFormat="1" applyFont="1" applyFill="1" applyAlignment="1">
      <alignment horizontal="right" vertical="top" wrapText="1"/>
    </xf>
    <xf numFmtId="4" fontId="24" fillId="0" borderId="0" xfId="3" applyNumberFormat="1" applyFont="1" applyAlignment="1">
      <alignment horizontal="right" vertical="center" wrapText="1"/>
    </xf>
    <xf numFmtId="0" fontId="2" fillId="0" borderId="1" xfId="0" applyFont="1" applyBorder="1" applyAlignment="1">
      <alignment horizontal="center" wrapText="1"/>
    </xf>
    <xf numFmtId="0" fontId="1" fillId="0" borderId="0" xfId="2" applyFont="1"/>
    <xf numFmtId="0" fontId="31" fillId="0" borderId="0" xfId="2" applyFont="1" applyAlignment="1">
      <alignment vertical="center"/>
    </xf>
    <xf numFmtId="0" fontId="1" fillId="0" borderId="0" xfId="2" applyFont="1" applyAlignment="1">
      <alignment horizontal="left" wrapText="1"/>
    </xf>
    <xf numFmtId="0" fontId="1" fillId="0" borderId="0" xfId="2" applyFont="1" applyAlignment="1">
      <alignment wrapText="1"/>
    </xf>
    <xf numFmtId="44" fontId="32" fillId="0" borderId="0" xfId="8" applyFont="1" applyAlignment="1">
      <alignment horizontal="center"/>
    </xf>
    <xf numFmtId="168" fontId="1" fillId="0" borderId="0" xfId="7" applyNumberFormat="1" applyFont="1" applyAlignment="1">
      <alignment vertical="top"/>
    </xf>
    <xf numFmtId="168" fontId="31" fillId="0" borderId="7" xfId="7" applyNumberFormat="1" applyFont="1" applyBorder="1" applyAlignment="1">
      <alignment vertical="top" wrapText="1"/>
    </xf>
    <xf numFmtId="44" fontId="31" fillId="0" borderId="0" xfId="8" applyFont="1" applyFill="1" applyBorder="1" applyAlignment="1">
      <alignment horizontal="center" vertical="center" wrapText="1"/>
    </xf>
    <xf numFmtId="0" fontId="34" fillId="2" borderId="8" xfId="2" applyFont="1" applyFill="1" applyBorder="1" applyAlignment="1">
      <alignment vertical="center" wrapText="1"/>
    </xf>
    <xf numFmtId="0" fontId="31" fillId="2" borderId="9" xfId="2" applyFont="1" applyFill="1" applyBorder="1" applyAlignment="1">
      <alignment horizontal="left" vertical="top"/>
    </xf>
    <xf numFmtId="0" fontId="31" fillId="2" borderId="8" xfId="2" applyFont="1" applyFill="1" applyBorder="1" applyAlignment="1">
      <alignment horizontal="left" vertical="top" wrapText="1"/>
    </xf>
    <xf numFmtId="0" fontId="7" fillId="5" borderId="10" xfId="2" applyFont="1" applyFill="1" applyBorder="1" applyAlignment="1">
      <alignment horizontal="left" vertical="top" wrapText="1"/>
    </xf>
    <xf numFmtId="0" fontId="7" fillId="5" borderId="1" xfId="2" applyFont="1" applyFill="1" applyBorder="1" applyAlignment="1">
      <alignment horizontal="left" vertical="top" wrapText="1"/>
    </xf>
    <xf numFmtId="168" fontId="31" fillId="5" borderId="8" xfId="7" applyNumberFormat="1" applyFont="1" applyFill="1" applyBorder="1" applyAlignment="1">
      <alignment vertical="top" wrapText="1"/>
    </xf>
    <xf numFmtId="0" fontId="29" fillId="0" borderId="0" xfId="2" applyFont="1" applyAlignment="1">
      <alignment wrapText="1"/>
    </xf>
    <xf numFmtId="0" fontId="29" fillId="0" borderId="0" xfId="2" applyFont="1"/>
    <xf numFmtId="0" fontId="35" fillId="0" borderId="0" xfId="2" applyFont="1" applyAlignment="1">
      <alignment horizontal="center" vertical="center" wrapText="1"/>
    </xf>
    <xf numFmtId="0" fontId="34" fillId="0" borderId="5" xfId="2" applyFont="1" applyBorder="1" applyAlignment="1">
      <alignment vertical="center" wrapText="1"/>
    </xf>
    <xf numFmtId="0" fontId="31" fillId="0" borderId="6" xfId="2" applyFont="1" applyBorder="1" applyAlignment="1">
      <alignment horizontal="left" vertical="center"/>
    </xf>
    <xf numFmtId="0" fontId="31" fillId="0" borderId="4" xfId="2" applyFont="1" applyBorder="1" applyAlignment="1">
      <alignment horizontal="center" vertical="center" wrapText="1"/>
    </xf>
    <xf numFmtId="0" fontId="36" fillId="0" borderId="4" xfId="2" applyFont="1" applyBorder="1" applyAlignment="1">
      <alignment horizontal="center" vertical="center" wrapText="1"/>
    </xf>
    <xf numFmtId="0" fontId="7" fillId="0" borderId="4" xfId="2" applyFont="1" applyBorder="1" applyAlignment="1">
      <alignment horizontal="center" vertical="center" wrapText="1"/>
    </xf>
    <xf numFmtId="168" fontId="31" fillId="0" borderId="5" xfId="7" applyNumberFormat="1" applyFont="1" applyFill="1" applyBorder="1" applyAlignment="1">
      <alignment vertical="top" wrapText="1"/>
    </xf>
    <xf numFmtId="0" fontId="34" fillId="6" borderId="5" xfId="2" applyFont="1" applyFill="1" applyBorder="1" applyAlignment="1">
      <alignment vertical="center" wrapText="1"/>
    </xf>
    <xf numFmtId="0" fontId="31" fillId="6" borderId="6" xfId="2" applyFont="1" applyFill="1" applyBorder="1" applyAlignment="1">
      <alignment horizontal="left" vertical="center"/>
    </xf>
    <xf numFmtId="0" fontId="31" fillId="6" borderId="4" xfId="2" applyFont="1" applyFill="1" applyBorder="1" applyAlignment="1">
      <alignment horizontal="left" vertical="center"/>
    </xf>
    <xf numFmtId="0" fontId="37" fillId="6" borderId="4" xfId="2" applyFont="1" applyFill="1" applyBorder="1" applyAlignment="1">
      <alignment horizontal="left" vertical="center"/>
    </xf>
    <xf numFmtId="0" fontId="7" fillId="6" borderId="4" xfId="2" applyFont="1" applyFill="1" applyBorder="1" applyAlignment="1">
      <alignment horizontal="left" vertical="center"/>
    </xf>
    <xf numFmtId="168" fontId="31" fillId="6" borderId="5" xfId="7" applyNumberFormat="1" applyFont="1" applyFill="1" applyBorder="1" applyAlignment="1">
      <alignment vertical="top"/>
    </xf>
    <xf numFmtId="0" fontId="31" fillId="0" borderId="0" xfId="2" applyFont="1" applyAlignment="1">
      <alignment horizontal="left" vertical="center"/>
    </xf>
    <xf numFmtId="0" fontId="7" fillId="7" borderId="5" xfId="2" applyFont="1" applyFill="1" applyBorder="1" applyAlignment="1">
      <alignment horizontal="center" vertical="center" wrapText="1"/>
    </xf>
    <xf numFmtId="15" fontId="38" fillId="7" borderId="7" xfId="2" applyNumberFormat="1" applyFont="1" applyFill="1" applyBorder="1" applyAlignment="1">
      <alignment horizontal="center" vertical="center" wrapText="1"/>
    </xf>
    <xf numFmtId="168" fontId="25" fillId="7" borderId="5" xfId="7" applyNumberFormat="1" applyFont="1" applyFill="1" applyBorder="1" applyAlignment="1">
      <alignment horizontal="right" vertical="center" wrapText="1"/>
    </xf>
    <xf numFmtId="44" fontId="39" fillId="0" borderId="0" xfId="8" applyFont="1" applyFill="1" applyBorder="1" applyAlignment="1">
      <alignment horizontal="left" vertical="top" wrapText="1"/>
    </xf>
    <xf numFmtId="0" fontId="25" fillId="7" borderId="7" xfId="2" applyFont="1" applyFill="1" applyBorder="1" applyAlignment="1">
      <alignment horizontal="left" vertical="center"/>
    </xf>
    <xf numFmtId="0" fontId="7" fillId="0" borderId="11" xfId="2" applyFont="1" applyBorder="1" applyAlignment="1">
      <alignment horizontal="center" vertical="center" wrapText="1"/>
    </xf>
    <xf numFmtId="169" fontId="24" fillId="0" borderId="5" xfId="0" applyNumberFormat="1" applyFont="1" applyBorder="1" applyAlignment="1">
      <alignment horizontal="left" vertical="center"/>
    </xf>
    <xf numFmtId="0" fontId="24" fillId="0" borderId="5" xfId="0" applyFont="1" applyBorder="1" applyAlignment="1">
      <alignment horizontal="left" vertical="center"/>
    </xf>
    <xf numFmtId="14" fontId="25" fillId="4" borderId="7" xfId="2" applyNumberFormat="1" applyFont="1" applyFill="1" applyBorder="1" applyAlignment="1">
      <alignment horizontal="left" vertical="center"/>
    </xf>
    <xf numFmtId="44" fontId="25" fillId="0" borderId="8" xfId="8" applyFont="1" applyFill="1" applyBorder="1" applyAlignment="1">
      <alignment horizontal="left" vertical="center" wrapText="1"/>
    </xf>
    <xf numFmtId="168" fontId="24" fillId="0" borderId="5" xfId="7" applyNumberFormat="1" applyFont="1" applyBorder="1" applyAlignment="1">
      <alignment horizontal="right" vertical="center"/>
    </xf>
    <xf numFmtId="0" fontId="40" fillId="0" borderId="5" xfId="2" applyFont="1" applyBorder="1" applyAlignment="1">
      <alignment horizontal="center" vertical="center" wrapText="1"/>
    </xf>
    <xf numFmtId="14" fontId="5" fillId="8" borderId="12" xfId="2" applyNumberFormat="1" applyFont="1" applyFill="1" applyBorder="1" applyAlignment="1">
      <alignment horizontal="left" vertical="top" wrapText="1"/>
    </xf>
    <xf numFmtId="0" fontId="5" fillId="8" borderId="7" xfId="2" applyFont="1" applyFill="1" applyBorder="1" applyAlignment="1">
      <alignment horizontal="left" vertical="top" wrapText="1"/>
    </xf>
    <xf numFmtId="14" fontId="5" fillId="0" borderId="5" xfId="2" applyNumberFormat="1" applyFont="1" applyBorder="1" applyAlignment="1">
      <alignment horizontal="left" vertical="top" wrapText="1"/>
    </xf>
    <xf numFmtId="0" fontId="5" fillId="0" borderId="6" xfId="2" applyFont="1" applyBorder="1" applyAlignment="1">
      <alignment vertical="center" wrapText="1"/>
    </xf>
    <xf numFmtId="168" fontId="0" fillId="0" borderId="5" xfId="7" applyNumberFormat="1" applyFont="1" applyBorder="1" applyAlignment="1">
      <alignment horizontal="right" vertical="center"/>
    </xf>
    <xf numFmtId="44" fontId="37" fillId="0" borderId="0" xfId="8" applyFont="1" applyFill="1" applyBorder="1" applyAlignment="1">
      <alignment horizontal="center" vertical="center" wrapText="1"/>
    </xf>
    <xf numFmtId="0" fontId="37" fillId="0" borderId="0" xfId="2" applyFont="1"/>
    <xf numFmtId="0" fontId="41" fillId="9" borderId="5" xfId="2" applyFont="1" applyFill="1" applyBorder="1" applyAlignment="1">
      <alignment horizontal="center" vertical="center" wrapText="1"/>
    </xf>
    <xf numFmtId="168" fontId="4" fillId="9" borderId="5" xfId="7" applyNumberFormat="1" applyFont="1" applyFill="1" applyBorder="1" applyAlignment="1">
      <alignment horizontal="right" vertical="center" wrapText="1"/>
    </xf>
    <xf numFmtId="44" fontId="7" fillId="0" borderId="0" xfId="8" applyFont="1" applyFill="1" applyBorder="1" applyAlignment="1">
      <alignment horizontal="center" vertical="top" wrapText="1"/>
    </xf>
    <xf numFmtId="44" fontId="37" fillId="0" borderId="0" xfId="2" applyNumberFormat="1" applyFont="1"/>
    <xf numFmtId="168" fontId="37" fillId="0" borderId="5" xfId="7" applyNumberFormat="1" applyFont="1" applyBorder="1" applyAlignment="1">
      <alignment horizontal="right" vertical="center" wrapText="1"/>
    </xf>
    <xf numFmtId="0" fontId="34" fillId="6" borderId="5" xfId="2" applyFont="1" applyFill="1" applyBorder="1" applyAlignment="1">
      <alignment horizontal="center" vertical="center" wrapText="1"/>
    </xf>
    <xf numFmtId="168" fontId="31" fillId="6" borderId="5" xfId="7" applyNumberFormat="1" applyFont="1" applyFill="1" applyBorder="1" applyAlignment="1">
      <alignment horizontal="right" vertical="center" wrapText="1"/>
    </xf>
    <xf numFmtId="0" fontId="31" fillId="0" borderId="0" xfId="2" applyFont="1"/>
    <xf numFmtId="0" fontId="42" fillId="0" borderId="5" xfId="2" applyFont="1" applyBorder="1" applyAlignment="1">
      <alignment horizontal="center" vertical="center" wrapText="1"/>
    </xf>
    <xf numFmtId="0" fontId="24" fillId="0" borderId="0" xfId="0" applyFont="1" applyAlignment="1">
      <alignment horizontal="left" vertical="center"/>
    </xf>
    <xf numFmtId="14" fontId="25" fillId="0" borderId="5" xfId="2" applyNumberFormat="1" applyFont="1" applyBorder="1" applyAlignment="1">
      <alignment horizontal="left" vertical="center" wrapText="1"/>
    </xf>
    <xf numFmtId="0" fontId="25" fillId="0" borderId="5" xfId="2" applyFont="1" applyBorder="1" applyAlignment="1">
      <alignment horizontal="left" vertical="center" wrapText="1"/>
    </xf>
    <xf numFmtId="44" fontId="25" fillId="0" borderId="0" xfId="8" applyFont="1" applyFill="1" applyBorder="1" applyAlignment="1">
      <alignment horizontal="center" vertical="top" wrapText="1"/>
    </xf>
    <xf numFmtId="0" fontId="26" fillId="0" borderId="0" xfId="2" applyFont="1"/>
    <xf numFmtId="0" fontId="34" fillId="0" borderId="5" xfId="2" applyFont="1" applyBorder="1" applyAlignment="1">
      <alignment horizontal="center" vertical="center" wrapText="1"/>
    </xf>
    <xf numFmtId="15" fontId="43" fillId="8" borderId="5" xfId="2" applyNumberFormat="1" applyFont="1" applyFill="1" applyBorder="1" applyAlignment="1">
      <alignment horizontal="left" vertical="top" wrapText="1"/>
    </xf>
    <xf numFmtId="0" fontId="37" fillId="0" borderId="5" xfId="2" applyFont="1" applyBorder="1" applyAlignment="1">
      <alignment vertical="top" wrapText="1"/>
    </xf>
    <xf numFmtId="14" fontId="37" fillId="0" borderId="5" xfId="2" applyNumberFormat="1" applyFont="1" applyBorder="1" applyAlignment="1">
      <alignment horizontal="left" vertical="top" wrapText="1"/>
    </xf>
    <xf numFmtId="0" fontId="5" fillId="0" borderId="5" xfId="2" applyFont="1" applyBorder="1" applyAlignment="1">
      <alignment horizontal="left" vertical="top" wrapText="1"/>
    </xf>
    <xf numFmtId="44" fontId="37" fillId="0" borderId="0" xfId="8" applyFont="1" applyFill="1" applyBorder="1" applyAlignment="1">
      <alignment horizontal="center" vertical="top" wrapText="1"/>
    </xf>
    <xf numFmtId="0" fontId="42" fillId="4" borderId="5" xfId="2" applyFont="1" applyFill="1" applyBorder="1" applyAlignment="1">
      <alignment horizontal="center" vertical="center" wrapText="1"/>
    </xf>
    <xf numFmtId="14" fontId="25" fillId="4" borderId="7" xfId="2" applyNumberFormat="1" applyFont="1" applyFill="1" applyBorder="1" applyAlignment="1">
      <alignment horizontal="left" vertical="center" wrapText="1"/>
    </xf>
    <xf numFmtId="44" fontId="25" fillId="0" borderId="0" xfId="8" applyFont="1" applyFill="1" applyBorder="1" applyAlignment="1">
      <alignment horizontal="center" vertical="center" wrapText="1"/>
    </xf>
    <xf numFmtId="0" fontId="25" fillId="0" borderId="0" xfId="2" applyFont="1"/>
    <xf numFmtId="0" fontId="34" fillId="4" borderId="5" xfId="2" applyFont="1" applyFill="1" applyBorder="1" applyAlignment="1">
      <alignment horizontal="center" vertical="center" wrapText="1"/>
    </xf>
    <xf numFmtId="14" fontId="24" fillId="0" borderId="5" xfId="0" applyNumberFormat="1" applyFont="1" applyBorder="1" applyAlignment="1">
      <alignment horizontal="left"/>
    </xf>
    <xf numFmtId="0" fontId="24" fillId="0" borderId="5" xfId="0" applyFont="1" applyBorder="1"/>
    <xf numFmtId="14" fontId="25" fillId="4" borderId="7" xfId="2" applyNumberFormat="1" applyFont="1" applyFill="1" applyBorder="1" applyAlignment="1">
      <alignment vertical="center" wrapText="1"/>
    </xf>
    <xf numFmtId="0" fontId="25" fillId="0" borderId="7" xfId="2" applyFont="1" applyBorder="1" applyAlignment="1">
      <alignment horizontal="center" vertical="center" wrapText="1"/>
    </xf>
    <xf numFmtId="0" fontId="43" fillId="8" borderId="5" xfId="2" applyFont="1" applyFill="1" applyBorder="1" applyAlignment="1">
      <alignment vertical="top" wrapText="1"/>
    </xf>
    <xf numFmtId="15" fontId="37" fillId="0" borderId="5" xfId="2" applyNumberFormat="1" applyFont="1" applyBorder="1" applyAlignment="1">
      <alignment horizontal="left" vertical="top" wrapText="1"/>
    </xf>
    <xf numFmtId="168" fontId="43" fillId="8" borderId="5" xfId="7" applyNumberFormat="1" applyFont="1" applyFill="1" applyBorder="1" applyAlignment="1">
      <alignment horizontal="right" vertical="center" wrapText="1"/>
    </xf>
    <xf numFmtId="0" fontId="36" fillId="0" borderId="0" xfId="2" applyFont="1" applyAlignment="1">
      <alignment horizontal="left" vertical="center" wrapText="1"/>
    </xf>
    <xf numFmtId="0" fontId="36" fillId="0" borderId="0" xfId="2" applyFont="1" applyAlignment="1">
      <alignment horizontal="left" vertical="top" wrapText="1"/>
    </xf>
    <xf numFmtId="0" fontId="36" fillId="0" borderId="0" xfId="2" applyFont="1"/>
    <xf numFmtId="169" fontId="24" fillId="0" borderId="11" xfId="0" applyNumberFormat="1" applyFont="1" applyBorder="1" applyAlignment="1">
      <alignment horizontal="left" vertical="center"/>
    </xf>
    <xf numFmtId="0" fontId="25" fillId="0" borderId="0" xfId="2" applyFont="1" applyAlignment="1">
      <alignment horizontal="left" vertical="center" wrapText="1"/>
    </xf>
    <xf numFmtId="0" fontId="25" fillId="0" borderId="0" xfId="2" applyFont="1" applyAlignment="1">
      <alignment horizontal="left" vertical="top" wrapText="1"/>
    </xf>
    <xf numFmtId="14" fontId="0" fillId="0" borderId="11" xfId="0" applyNumberFormat="1" applyBorder="1" applyAlignment="1">
      <alignment horizontal="left"/>
    </xf>
    <xf numFmtId="0" fontId="0" fillId="0" borderId="5" xfId="0" applyBorder="1"/>
    <xf numFmtId="168" fontId="0" fillId="0" borderId="11" xfId="7" applyNumberFormat="1" applyFont="1" applyBorder="1" applyAlignment="1">
      <alignment horizontal="right" vertical="center"/>
    </xf>
    <xf numFmtId="168" fontId="31" fillId="6" borderId="5" xfId="7" applyNumberFormat="1" applyFont="1" applyFill="1" applyBorder="1" applyAlignment="1">
      <alignment horizontal="right" vertical="center"/>
    </xf>
    <xf numFmtId="15" fontId="44" fillId="7" borderId="7" xfId="2" applyNumberFormat="1" applyFont="1" applyFill="1" applyBorder="1" applyAlignment="1">
      <alignment horizontal="center" vertical="top" wrapText="1"/>
    </xf>
    <xf numFmtId="44" fontId="5" fillId="7" borderId="4" xfId="8" applyFont="1" applyFill="1" applyBorder="1" applyAlignment="1">
      <alignment horizontal="left" vertical="top" wrapText="1"/>
    </xf>
    <xf numFmtId="168" fontId="45" fillId="7" borderId="5" xfId="7" applyNumberFormat="1" applyFont="1" applyFill="1" applyBorder="1" applyAlignment="1">
      <alignment horizontal="right" vertical="center" wrapText="1"/>
    </xf>
    <xf numFmtId="0" fontId="26" fillId="0" borderId="5" xfId="2" applyFont="1" applyBorder="1" applyAlignment="1">
      <alignment horizontal="center" vertical="center" wrapText="1"/>
    </xf>
    <xf numFmtId="169" fontId="25" fillId="0" borderId="5" xfId="2" applyNumberFormat="1" applyFont="1" applyBorder="1" applyAlignment="1">
      <alignment horizontal="left" vertical="center" wrapText="1"/>
    </xf>
    <xf numFmtId="44" fontId="25" fillId="0" borderId="7" xfId="8" applyFont="1" applyFill="1" applyBorder="1" applyAlignment="1">
      <alignment horizontal="left" vertical="center" wrapText="1"/>
    </xf>
    <xf numFmtId="14" fontId="38" fillId="0" borderId="7" xfId="8" applyNumberFormat="1" applyFont="1" applyFill="1" applyBorder="1" applyAlignment="1">
      <alignment horizontal="left" vertical="center" wrapText="1"/>
    </xf>
    <xf numFmtId="44" fontId="25" fillId="0" borderId="4" xfId="8" applyFont="1" applyFill="1" applyBorder="1" applyAlignment="1">
      <alignment horizontal="left" vertical="center" wrapText="1"/>
    </xf>
    <xf numFmtId="44" fontId="46" fillId="0" borderId="0" xfId="8" applyFont="1" applyFill="1" applyBorder="1" applyAlignment="1">
      <alignment horizontal="left" vertical="top" wrapText="1"/>
    </xf>
    <xf numFmtId="0" fontId="47" fillId="0" borderId="0" xfId="2" applyFont="1"/>
    <xf numFmtId="14" fontId="43" fillId="8" borderId="13" xfId="2" applyNumberFormat="1" applyFont="1" applyFill="1" applyBorder="1" applyAlignment="1">
      <alignment horizontal="left" vertical="top" wrapText="1"/>
    </xf>
    <xf numFmtId="0" fontId="43" fillId="8" borderId="14" xfId="2" applyFont="1" applyFill="1" applyBorder="1" applyAlignment="1">
      <alignment horizontal="left" vertical="top" wrapText="1"/>
    </xf>
    <xf numFmtId="168" fontId="43" fillId="8" borderId="13" xfId="7" applyNumberFormat="1" applyFont="1" applyFill="1" applyBorder="1" applyAlignment="1">
      <alignment horizontal="right" vertical="center" wrapText="1"/>
    </xf>
    <xf numFmtId="0" fontId="41" fillId="0" borderId="5" xfId="2" applyFont="1" applyBorder="1" applyAlignment="1">
      <alignment horizontal="center" vertical="center" wrapText="1"/>
    </xf>
    <xf numFmtId="168" fontId="5" fillId="0" borderId="5" xfId="7" applyNumberFormat="1" applyFont="1" applyFill="1" applyBorder="1" applyAlignment="1">
      <alignment horizontal="right" vertical="center" wrapText="1"/>
    </xf>
    <xf numFmtId="168" fontId="31" fillId="0" borderId="5" xfId="7" applyNumberFormat="1" applyFont="1" applyBorder="1" applyAlignment="1">
      <alignment horizontal="right" vertical="center" wrapText="1"/>
    </xf>
    <xf numFmtId="168" fontId="25" fillId="0" borderId="5" xfId="7" applyNumberFormat="1" applyFont="1" applyBorder="1" applyAlignment="1">
      <alignment horizontal="right" vertical="center" wrapText="1"/>
    </xf>
    <xf numFmtId="0" fontId="48" fillId="0" borderId="0" xfId="0" applyFont="1" applyAlignment="1">
      <alignment horizontal="justify" vertical="center" wrapText="1"/>
    </xf>
    <xf numFmtId="170" fontId="28" fillId="4" borderId="5" xfId="0" applyNumberFormat="1" applyFont="1" applyFill="1" applyBorder="1" applyAlignment="1" applyProtection="1">
      <alignment horizontal="left"/>
      <protection locked="0"/>
    </xf>
    <xf numFmtId="0" fontId="7" fillId="0" borderId="0" xfId="2" applyFont="1"/>
    <xf numFmtId="43" fontId="2" fillId="3" borderId="0" xfId="0" applyNumberFormat="1" applyFont="1" applyFill="1" applyAlignment="1">
      <alignment horizontal="left" vertical="top"/>
    </xf>
    <xf numFmtId="43" fontId="2" fillId="0" borderId="0" xfId="0" applyNumberFormat="1" applyFont="1" applyAlignment="1">
      <alignment horizontal="left" vertical="top"/>
    </xf>
    <xf numFmtId="43" fontId="2" fillId="0" borderId="0" xfId="0" applyNumberFormat="1" applyFont="1" applyAlignment="1">
      <alignment horizontal="right" vertical="top"/>
    </xf>
    <xf numFmtId="43" fontId="2" fillId="3" borderId="3" xfId="0" applyNumberFormat="1" applyFont="1" applyFill="1" applyBorder="1" applyAlignment="1">
      <alignment horizontal="left" wrapText="1"/>
    </xf>
    <xf numFmtId="171" fontId="2" fillId="0" borderId="1" xfId="0" applyNumberFormat="1" applyFont="1" applyBorder="1" applyAlignment="1">
      <alignment horizontal="center" wrapText="1"/>
    </xf>
    <xf numFmtId="172" fontId="24" fillId="0" borderId="5" xfId="7" applyNumberFormat="1" applyFont="1" applyBorder="1" applyAlignment="1">
      <alignment horizontal="right" vertical="center"/>
    </xf>
    <xf numFmtId="172" fontId="24" fillId="0" borderId="11" xfId="7" applyNumberFormat="1" applyFont="1" applyBorder="1" applyAlignment="1">
      <alignment horizontal="right" vertical="center"/>
    </xf>
    <xf numFmtId="172" fontId="25" fillId="0" borderId="5" xfId="7" applyNumberFormat="1" applyFont="1" applyFill="1" applyBorder="1" applyAlignment="1">
      <alignment horizontal="right" vertical="center" wrapText="1"/>
    </xf>
    <xf numFmtId="0" fontId="2" fillId="0" borderId="0" xfId="1" applyNumberFormat="1" applyFont="1" applyFill="1" applyAlignment="1">
      <alignment horizontal="right" vertical="top" wrapText="1"/>
    </xf>
    <xf numFmtId="0" fontId="49" fillId="4" borderId="5" xfId="2" applyFont="1" applyFill="1" applyBorder="1" applyAlignment="1">
      <alignment horizontal="center" vertical="center" wrapText="1"/>
    </xf>
    <xf numFmtId="0" fontId="50" fillId="0" borderId="0" xfId="0" applyFont="1"/>
    <xf numFmtId="0" fontId="7" fillId="0" borderId="0" xfId="0" applyFont="1" applyAlignment="1">
      <alignment horizontal="right" vertical="center"/>
    </xf>
    <xf numFmtId="0" fontId="5" fillId="0" borderId="0" xfId="0" applyFont="1" applyAlignment="1">
      <alignment horizontal="left" vertical="top"/>
    </xf>
    <xf numFmtId="0" fontId="5" fillId="0" borderId="0" xfId="0" applyFont="1" applyAlignment="1">
      <alignment horizontal="left" vertical="top" wrapText="1"/>
    </xf>
    <xf numFmtId="0" fontId="4" fillId="0" borderId="2" xfId="0" applyFont="1" applyBorder="1" applyAlignment="1">
      <alignment horizontal="center" vertical="top" wrapText="1"/>
    </xf>
    <xf numFmtId="0" fontId="8" fillId="0" borderId="6" xfId="5" applyFont="1" applyBorder="1" applyAlignment="1">
      <alignment horizontal="left" vertical="top" wrapText="1"/>
    </xf>
    <xf numFmtId="0" fontId="8" fillId="0" borderId="4" xfId="5" applyFont="1" applyBorder="1" applyAlignment="1">
      <alignment horizontal="left" vertical="top" wrapText="1"/>
    </xf>
    <xf numFmtId="0" fontId="8" fillId="0" borderId="7" xfId="5" applyFont="1" applyBorder="1" applyAlignment="1">
      <alignment horizontal="left" vertical="top" wrapText="1"/>
    </xf>
    <xf numFmtId="0" fontId="10" fillId="2" borderId="6" xfId="4" applyFont="1" applyFill="1" applyBorder="1" applyAlignment="1">
      <alignment horizontal="left" vertical="top"/>
    </xf>
    <xf numFmtId="0" fontId="10" fillId="2" borderId="4" xfId="4" applyFont="1" applyFill="1" applyBorder="1" applyAlignment="1">
      <alignment horizontal="left" vertical="top"/>
    </xf>
    <xf numFmtId="0" fontId="10" fillId="2" borderId="7" xfId="4" applyFont="1" applyFill="1" applyBorder="1" applyAlignment="1">
      <alignment horizontal="left" vertical="top"/>
    </xf>
    <xf numFmtId="0" fontId="8" fillId="0" borderId="5" xfId="5" applyFont="1" applyBorder="1" applyAlignment="1">
      <alignment horizontal="center" vertical="center" wrapText="1"/>
    </xf>
    <xf numFmtId="0" fontId="31" fillId="6" borderId="6" xfId="2" applyFont="1" applyFill="1" applyBorder="1" applyAlignment="1">
      <alignment vertical="center" wrapText="1"/>
    </xf>
    <xf numFmtId="0" fontId="31" fillId="6" borderId="4" xfId="2" applyFont="1" applyFill="1" applyBorder="1" applyAlignment="1">
      <alignment vertical="center" wrapText="1"/>
    </xf>
    <xf numFmtId="0" fontId="31" fillId="6" borderId="7" xfId="2" applyFont="1" applyFill="1" applyBorder="1" applyAlignment="1">
      <alignment vertical="center" wrapText="1"/>
    </xf>
    <xf numFmtId="0" fontId="30" fillId="0" borderId="0" xfId="2" applyFont="1" applyAlignment="1">
      <alignment horizontal="left" vertical="center" wrapText="1"/>
    </xf>
    <xf numFmtId="0" fontId="31" fillId="0" borderId="0" xfId="2" applyFont="1" applyAlignment="1">
      <alignment horizontal="left" vertical="center" wrapText="1"/>
    </xf>
    <xf numFmtId="0" fontId="31" fillId="0" borderId="6" xfId="2" applyFont="1" applyBorder="1" applyAlignment="1">
      <alignment vertical="center"/>
    </xf>
    <xf numFmtId="0" fontId="31" fillId="0" borderId="4" xfId="2" applyFont="1" applyBorder="1" applyAlignment="1">
      <alignment vertical="center"/>
    </xf>
    <xf numFmtId="0" fontId="31" fillId="4" borderId="6" xfId="2" applyFont="1" applyFill="1" applyBorder="1" applyAlignment="1">
      <alignment vertical="center"/>
    </xf>
    <xf numFmtId="0" fontId="31" fillId="4" borderId="4" xfId="2" applyFont="1" applyFill="1" applyBorder="1" applyAlignment="1">
      <alignment vertical="center"/>
    </xf>
    <xf numFmtId="0" fontId="0" fillId="4" borderId="7" xfId="0" applyFill="1" applyBorder="1" applyAlignment="1">
      <alignment vertical="center"/>
    </xf>
    <xf numFmtId="0" fontId="25" fillId="7" borderId="6" xfId="2" applyFont="1" applyFill="1" applyBorder="1" applyAlignment="1">
      <alignment horizontal="left" vertical="center" wrapText="1"/>
    </xf>
    <xf numFmtId="0" fontId="25" fillId="7" borderId="7" xfId="2" applyFont="1" applyFill="1" applyBorder="1" applyAlignment="1">
      <alignment horizontal="left" vertical="center" wrapText="1"/>
    </xf>
    <xf numFmtId="0" fontId="25" fillId="7" borderId="6" xfId="2" applyFont="1" applyFill="1" applyBorder="1" applyAlignment="1">
      <alignment horizontal="left" vertical="center"/>
    </xf>
    <xf numFmtId="0" fontId="25" fillId="7" borderId="7" xfId="2" applyFont="1" applyFill="1" applyBorder="1" applyAlignment="1">
      <alignment horizontal="left" vertical="center"/>
    </xf>
    <xf numFmtId="0" fontId="7" fillId="9" borderId="6" xfId="2" applyFont="1" applyFill="1" applyBorder="1" applyAlignment="1">
      <alignment horizontal="right" vertical="top" wrapText="1"/>
    </xf>
    <xf numFmtId="0" fontId="7" fillId="9" borderId="1" xfId="2" applyFont="1" applyFill="1" applyBorder="1" applyAlignment="1">
      <alignment horizontal="right" vertical="top" wrapText="1"/>
    </xf>
    <xf numFmtId="0" fontId="7" fillId="9" borderId="4" xfId="2" applyFont="1" applyFill="1" applyBorder="1" applyAlignment="1">
      <alignment horizontal="right" vertical="top" wrapText="1"/>
    </xf>
    <xf numFmtId="0" fontId="7" fillId="9" borderId="7" xfId="2" applyFont="1" applyFill="1" applyBorder="1" applyAlignment="1">
      <alignment horizontal="right" vertical="top" wrapText="1"/>
    </xf>
    <xf numFmtId="0" fontId="37" fillId="0" borderId="6" xfId="2" applyFont="1" applyBorder="1" applyAlignment="1">
      <alignment horizontal="center" vertical="center" wrapText="1"/>
    </xf>
    <xf numFmtId="0" fontId="37" fillId="0" borderId="4" xfId="2" applyFont="1" applyBorder="1" applyAlignment="1">
      <alignment horizontal="center" vertical="center" wrapText="1"/>
    </xf>
    <xf numFmtId="0" fontId="37" fillId="0" borderId="7" xfId="2" applyFont="1" applyBorder="1" applyAlignment="1">
      <alignment horizontal="center" vertical="center" wrapText="1"/>
    </xf>
    <xf numFmtId="0" fontId="37" fillId="0" borderId="6" xfId="2" applyFont="1" applyBorder="1" applyAlignment="1">
      <alignment vertical="center" wrapText="1"/>
    </xf>
    <xf numFmtId="0" fontId="37" fillId="0" borderId="4" xfId="2" applyFont="1" applyBorder="1" applyAlignment="1">
      <alignment vertical="center" wrapText="1"/>
    </xf>
    <xf numFmtId="0" fontId="37" fillId="0" borderId="7" xfId="2" applyFont="1" applyBorder="1" applyAlignment="1">
      <alignment vertical="center" wrapText="1"/>
    </xf>
    <xf numFmtId="0" fontId="31" fillId="0" borderId="6" xfId="2" applyFont="1" applyBorder="1" applyAlignment="1">
      <alignment horizontal="left" vertical="center" wrapText="1"/>
    </xf>
    <xf numFmtId="0" fontId="31" fillId="0" borderId="4" xfId="2" applyFont="1" applyBorder="1" applyAlignment="1">
      <alignment horizontal="left" vertical="center" wrapText="1"/>
    </xf>
    <xf numFmtId="0" fontId="31" fillId="0" borderId="7" xfId="2" applyFont="1" applyBorder="1" applyAlignment="1">
      <alignment horizontal="left" vertical="center" wrapText="1"/>
    </xf>
    <xf numFmtId="0" fontId="44" fillId="7" borderId="6" xfId="2" applyFont="1" applyFill="1" applyBorder="1" applyAlignment="1">
      <alignment horizontal="left" vertical="top" wrapText="1"/>
    </xf>
    <xf numFmtId="0" fontId="44" fillId="7" borderId="7" xfId="2" applyFont="1" applyFill="1" applyBorder="1" applyAlignment="1">
      <alignment horizontal="left" vertical="top" wrapText="1"/>
    </xf>
    <xf numFmtId="0" fontId="7" fillId="0" borderId="6" xfId="2" applyFont="1" applyBorder="1" applyAlignment="1">
      <alignment horizontal="right" vertical="top" wrapText="1"/>
    </xf>
    <xf numFmtId="0" fontId="7" fillId="0" borderId="4" xfId="2" applyFont="1" applyBorder="1" applyAlignment="1">
      <alignment horizontal="right" vertical="top" wrapText="1"/>
    </xf>
    <xf numFmtId="0" fontId="7" fillId="0" borderId="7" xfId="2" applyFont="1" applyBorder="1" applyAlignment="1">
      <alignment horizontal="right" vertical="top" wrapText="1"/>
    </xf>
    <xf numFmtId="0" fontId="31" fillId="6" borderId="6" xfId="2" applyFont="1" applyFill="1" applyBorder="1" applyAlignment="1">
      <alignment vertical="center"/>
    </xf>
    <xf numFmtId="0" fontId="31" fillId="6" borderId="4" xfId="2" applyFont="1" applyFill="1" applyBorder="1" applyAlignment="1">
      <alignment vertical="center"/>
    </xf>
    <xf numFmtId="0" fontId="31" fillId="6" borderId="7" xfId="2" applyFont="1" applyFill="1" applyBorder="1" applyAlignment="1">
      <alignment vertical="center"/>
    </xf>
    <xf numFmtId="0" fontId="31" fillId="0" borderId="6" xfId="2" applyFont="1" applyBorder="1" applyAlignment="1">
      <alignment vertical="center" wrapText="1"/>
    </xf>
    <xf numFmtId="0" fontId="31" fillId="0" borderId="4" xfId="2" applyFont="1" applyBorder="1" applyAlignment="1">
      <alignment vertical="center" wrapText="1"/>
    </xf>
    <xf numFmtId="0" fontId="31" fillId="0" borderId="7" xfId="2" applyFont="1" applyBorder="1" applyAlignment="1">
      <alignment vertical="center" wrapText="1"/>
    </xf>
    <xf numFmtId="0" fontId="37" fillId="0" borderId="6" xfId="2" applyFont="1" applyBorder="1" applyAlignment="1">
      <alignment horizontal="left" vertical="center" wrapText="1"/>
    </xf>
    <xf numFmtId="0" fontId="37" fillId="0" borderId="4" xfId="2" applyFont="1" applyBorder="1" applyAlignment="1">
      <alignment horizontal="left" vertical="center" wrapText="1"/>
    </xf>
    <xf numFmtId="0" fontId="37" fillId="0" borderId="7" xfId="2" applyFont="1" applyBorder="1" applyAlignment="1">
      <alignment horizontal="left" vertical="center" wrapText="1"/>
    </xf>
    <xf numFmtId="0" fontId="2" fillId="0" borderId="0" xfId="0" applyFont="1"/>
    <xf numFmtId="0" fontId="2" fillId="0" borderId="0" xfId="0" applyFont="1" applyAlignment="1">
      <alignment horizontal="center" vertical="top"/>
    </xf>
    <xf numFmtId="43" fontId="2" fillId="3" borderId="0" xfId="1" applyFont="1" applyFill="1" applyAlignment="1">
      <alignment horizontal="right" vertical="top" wrapText="1"/>
    </xf>
    <xf numFmtId="43" fontId="2" fillId="0" borderId="0" xfId="1" applyFont="1" applyFill="1" applyAlignment="1">
      <alignment horizontal="right" vertical="top" wrapText="1"/>
    </xf>
    <xf numFmtId="39" fontId="2" fillId="0" borderId="0" xfId="1" applyNumberFormat="1" applyFont="1" applyFill="1" applyAlignment="1">
      <alignment horizontal="right" vertical="top" wrapText="1"/>
    </xf>
    <xf numFmtId="0" fontId="2" fillId="0" borderId="0" xfId="0" applyFont="1" applyAlignment="1">
      <alignment horizontal="left"/>
    </xf>
    <xf numFmtId="43" fontId="2" fillId="3" borderId="3" xfId="1" applyFont="1" applyFill="1" applyBorder="1"/>
    <xf numFmtId="43" fontId="2" fillId="0" borderId="1" xfId="1" applyFont="1" applyFill="1" applyBorder="1" applyAlignment="1">
      <alignment horizontal="center" wrapText="1"/>
    </xf>
    <xf numFmtId="17" fontId="2" fillId="0" borderId="1" xfId="1" applyNumberFormat="1" applyFont="1" applyFill="1" applyBorder="1" applyAlignment="1">
      <alignment horizontal="center" wrapText="1"/>
    </xf>
    <xf numFmtId="43" fontId="2" fillId="3" borderId="4" xfId="1" applyFont="1" applyFill="1" applyBorder="1" applyAlignment="1">
      <alignment horizontal="left" vertical="top"/>
    </xf>
    <xf numFmtId="43" fontId="2" fillId="3" borderId="0" xfId="0" applyNumberFormat="1" applyFont="1" applyFill="1" applyAlignment="1">
      <alignment horizontal="right" vertical="top"/>
    </xf>
    <xf numFmtId="0" fontId="2" fillId="0" borderId="0" xfId="0" applyFont="1" applyAlignment="1">
      <alignment horizontal="right" vertical="top"/>
    </xf>
    <xf numFmtId="43" fontId="2" fillId="3" borderId="3" xfId="0" applyNumberFormat="1" applyFont="1" applyFill="1" applyBorder="1" applyAlignment="1">
      <alignment horizontal="right" vertical="top"/>
    </xf>
    <xf numFmtId="43" fontId="2" fillId="3" borderId="3" xfId="1" applyFont="1" applyFill="1" applyBorder="1" applyAlignment="1">
      <alignment horizontal="right" vertical="top" wrapText="1"/>
    </xf>
    <xf numFmtId="39" fontId="2" fillId="0" borderId="0" xfId="1" applyNumberFormat="1" applyFont="1" applyFill="1" applyBorder="1" applyAlignment="1">
      <alignment horizontal="right" vertical="top" wrapText="1"/>
    </xf>
    <xf numFmtId="39" fontId="2" fillId="0" borderId="0" xfId="0" applyNumberFormat="1" applyFont="1"/>
    <xf numFmtId="43" fontId="2" fillId="0" borderId="2" xfId="0" applyNumberFormat="1" applyFont="1" applyBorder="1" applyAlignment="1">
      <alignment horizontal="right"/>
    </xf>
    <xf numFmtId="43" fontId="2" fillId="0" borderId="0" xfId="1" applyFont="1" applyBorder="1" applyAlignment="1">
      <alignment horizontal="right"/>
    </xf>
    <xf numFmtId="43" fontId="2" fillId="0" borderId="3" xfId="1" applyFont="1" applyBorder="1" applyAlignment="1">
      <alignment horizontal="right"/>
    </xf>
    <xf numFmtId="4" fontId="2" fillId="0" borderId="0" xfId="1" applyNumberFormat="1" applyFont="1" applyFill="1" applyAlignment="1">
      <alignment horizontal="right" vertical="top" wrapText="1"/>
    </xf>
    <xf numFmtId="43" fontId="2" fillId="0" borderId="2" xfId="1" applyFont="1" applyFill="1" applyBorder="1"/>
    <xf numFmtId="43" fontId="2" fillId="0" borderId="0" xfId="1" applyFont="1" applyFill="1" applyBorder="1" applyAlignment="1">
      <alignment horizontal="right"/>
    </xf>
  </cellXfs>
  <cellStyles count="9">
    <cellStyle name="Comma" xfId="1" builtinId="3"/>
    <cellStyle name="Comma 2" xfId="3" xr:uid="{00000000-0005-0000-0000-000003000000}"/>
    <cellStyle name="Comma 4" xfId="6" xr:uid="{D86D4780-DC9D-4F88-80A2-75714736A4CB}"/>
    <cellStyle name="Currency" xfId="7" builtinId="4"/>
    <cellStyle name="Currency 2" xfId="8" xr:uid="{5FE8D999-3544-4D59-861F-848E17C94270}"/>
    <cellStyle name="Normal" xfId="0" builtinId="0"/>
    <cellStyle name="Normal 2" xfId="2" xr:uid="{00000000-0005-0000-0000-000005000000}"/>
    <cellStyle name="Normal 4" xfId="4" xr:uid="{00000000-0005-0000-0000-000006000000}"/>
    <cellStyle name="Normal_Annex_A.2" xfId="5" xr:uid="{00000000-0005-0000-0000-000007000000}"/>
  </cellStyles>
  <dxfs count="1">
    <dxf>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oneCellAnchor>
    <xdr:from>
      <xdr:col>5</xdr:col>
      <xdr:colOff>427264</xdr:colOff>
      <xdr:row>24</xdr:row>
      <xdr:rowOff>78014</xdr:rowOff>
    </xdr:from>
    <xdr:ext cx="65" cy="17222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8110764" y="456837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SG"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64"/>
  <sheetViews>
    <sheetView topLeftCell="A18" zoomScale="80" zoomScaleNormal="80" workbookViewId="0">
      <selection activeCell="A62" sqref="A62:XFD62"/>
    </sheetView>
  </sheetViews>
  <sheetFormatPr defaultRowHeight="15"/>
  <cols>
    <col min="1" max="1" width="29.28515625" customWidth="1"/>
    <col min="2" max="2" width="4.42578125" customWidth="1"/>
    <col min="3" max="3" width="54.28515625" customWidth="1"/>
    <col min="4" max="4" width="32.7109375" customWidth="1"/>
    <col min="5" max="5" width="37.7109375" customWidth="1"/>
    <col min="6" max="6" width="37.5703125" customWidth="1"/>
    <col min="7" max="7" width="37.7109375" customWidth="1"/>
    <col min="8" max="8" width="38.140625" customWidth="1"/>
    <col min="9" max="9" width="34.85546875" customWidth="1"/>
  </cols>
  <sheetData>
    <row r="1" spans="1:9" ht="15.75">
      <c r="A1" s="1" t="s">
        <v>0</v>
      </c>
      <c r="C1" s="56" t="s">
        <v>1</v>
      </c>
    </row>
    <row r="3" spans="1:9" ht="15.75">
      <c r="A3" s="2" t="s">
        <v>2</v>
      </c>
      <c r="B3" s="2"/>
      <c r="C3" s="2"/>
    </row>
    <row r="4" spans="1:9" ht="15.75">
      <c r="A4" s="2" t="s">
        <v>3</v>
      </c>
      <c r="B4" s="2"/>
      <c r="C4" s="60" t="s">
        <v>4</v>
      </c>
    </row>
    <row r="5" spans="1:9" ht="15.75">
      <c r="A5" s="3"/>
      <c r="B5" s="3"/>
      <c r="C5" s="3"/>
    </row>
    <row r="6" spans="1:9" ht="15.75">
      <c r="A6" s="42" t="s">
        <v>5</v>
      </c>
      <c r="B6" s="3"/>
      <c r="C6" s="55" t="s">
        <v>6</v>
      </c>
    </row>
    <row r="7" spans="1:9" ht="15.75">
      <c r="A7" s="20" t="s">
        <v>7</v>
      </c>
      <c r="B7" s="3"/>
      <c r="C7" s="55" t="s">
        <v>8</v>
      </c>
    </row>
    <row r="8" spans="1:9" ht="15.75">
      <c r="A8" s="20" t="s">
        <v>9</v>
      </c>
      <c r="B8" s="3"/>
      <c r="C8" s="55" t="s">
        <v>10</v>
      </c>
    </row>
    <row r="9" spans="1:9" ht="15.75">
      <c r="A9" s="20" t="s">
        <v>11</v>
      </c>
      <c r="B9" s="3"/>
      <c r="C9" s="55" t="s">
        <v>12</v>
      </c>
    </row>
    <row r="10" spans="1:9" ht="15.75">
      <c r="A10" s="20" t="s">
        <v>13</v>
      </c>
      <c r="B10" s="3"/>
      <c r="C10" s="55"/>
    </row>
    <row r="11" spans="1:9" ht="15.75">
      <c r="A11" s="20" t="s">
        <v>14</v>
      </c>
      <c r="B11" s="3"/>
      <c r="C11" s="55" t="s">
        <v>15</v>
      </c>
    </row>
    <row r="12" spans="1:9" ht="15.75">
      <c r="A12" s="20" t="s">
        <v>16</v>
      </c>
      <c r="B12" s="3"/>
      <c r="C12" s="55" t="s">
        <v>17</v>
      </c>
    </row>
    <row r="13" spans="1:9" ht="15.75">
      <c r="A13" s="20" t="s">
        <v>18</v>
      </c>
      <c r="B13" s="3"/>
      <c r="C13" s="55" t="s">
        <v>19</v>
      </c>
    </row>
    <row r="14" spans="1:9">
      <c r="A14" s="4"/>
      <c r="B14" s="4"/>
      <c r="C14" s="4"/>
      <c r="D14" s="54"/>
      <c r="E14" s="54"/>
      <c r="F14" s="4"/>
      <c r="G14" s="4"/>
      <c r="H14" s="4"/>
      <c r="I14" s="4"/>
    </row>
    <row r="15" spans="1:9" s="51" customFormat="1" ht="25.5">
      <c r="A15" s="48"/>
      <c r="B15" s="48"/>
      <c r="C15" s="52" t="s">
        <v>20</v>
      </c>
      <c r="D15" s="49" t="s">
        <v>21</v>
      </c>
      <c r="E15" s="49" t="s">
        <v>22</v>
      </c>
      <c r="F15" s="49" t="s">
        <v>23</v>
      </c>
      <c r="G15" s="49" t="s">
        <v>24</v>
      </c>
      <c r="H15" s="49" t="s">
        <v>25</v>
      </c>
      <c r="I15" s="49" t="s">
        <v>26</v>
      </c>
    </row>
    <row r="16" spans="1:9" ht="15" customHeight="1">
      <c r="A16" s="72"/>
      <c r="B16" s="72"/>
      <c r="C16" s="72"/>
      <c r="D16" s="72"/>
      <c r="E16" s="72"/>
      <c r="F16" s="67" t="s">
        <v>27</v>
      </c>
      <c r="G16" s="67" t="s">
        <v>27</v>
      </c>
      <c r="H16" s="67" t="s">
        <v>4</v>
      </c>
      <c r="I16" s="68" t="s">
        <v>4</v>
      </c>
    </row>
    <row r="17" spans="1:11">
      <c r="A17" s="247"/>
      <c r="B17" s="247"/>
      <c r="C17" s="247"/>
      <c r="D17" s="248" t="s">
        <v>28</v>
      </c>
      <c r="E17" s="248" t="s">
        <v>29</v>
      </c>
      <c r="F17" s="36" t="s">
        <v>30</v>
      </c>
      <c r="G17" s="36" t="s">
        <v>31</v>
      </c>
      <c r="H17" s="15" t="s">
        <v>32</v>
      </c>
      <c r="I17" s="15" t="s">
        <v>33</v>
      </c>
    </row>
    <row r="18" spans="1:11" ht="85.5" customHeight="1">
      <c r="A18" s="247"/>
      <c r="B18" s="247"/>
      <c r="C18" s="247"/>
      <c r="D18" s="37" t="s">
        <v>34</v>
      </c>
      <c r="E18" s="37" t="s">
        <v>35</v>
      </c>
      <c r="F18" s="38" t="s">
        <v>36</v>
      </c>
      <c r="G18" s="38" t="s">
        <v>37</v>
      </c>
      <c r="H18" s="39" t="s">
        <v>38</v>
      </c>
      <c r="I18" s="39" t="s">
        <v>39</v>
      </c>
    </row>
    <row r="19" spans="1:11">
      <c r="A19" s="18"/>
      <c r="B19" s="18">
        <v>1</v>
      </c>
      <c r="C19" s="18" t="s">
        <v>40</v>
      </c>
      <c r="D19" s="69" t="s">
        <v>41</v>
      </c>
      <c r="E19" s="69" t="s">
        <v>42</v>
      </c>
      <c r="F19" s="70" t="s">
        <v>43</v>
      </c>
      <c r="G19" s="70" t="s">
        <v>43</v>
      </c>
      <c r="H19" s="71" t="s">
        <v>44</v>
      </c>
      <c r="I19" s="249" t="e">
        <f>H19+G19-F19</f>
        <v>#VALUE!</v>
      </c>
    </row>
    <row r="20" spans="1:11">
      <c r="A20" s="18"/>
      <c r="B20" s="18">
        <v>2</v>
      </c>
      <c r="C20" s="18" t="s">
        <v>45</v>
      </c>
      <c r="D20" s="69" t="s">
        <v>41</v>
      </c>
      <c r="E20" s="69" t="s">
        <v>42</v>
      </c>
      <c r="F20" s="70" t="s">
        <v>43</v>
      </c>
      <c r="G20" s="70" t="s">
        <v>43</v>
      </c>
      <c r="H20" s="70" t="s">
        <v>44</v>
      </c>
      <c r="I20" s="249" t="e">
        <f t="shared" ref="I20:I23" si="0">H20+G20-F20</f>
        <v>#VALUE!</v>
      </c>
    </row>
    <row r="21" spans="1:11" ht="26.25">
      <c r="A21" s="18"/>
      <c r="B21" s="18">
        <v>3</v>
      </c>
      <c r="C21" s="18" t="s">
        <v>46</v>
      </c>
      <c r="D21" s="69" t="s">
        <v>47</v>
      </c>
      <c r="E21" s="69" t="s">
        <v>48</v>
      </c>
      <c r="F21" s="70" t="s">
        <v>49</v>
      </c>
      <c r="G21" s="70" t="s">
        <v>49</v>
      </c>
      <c r="H21" s="70" t="s">
        <v>50</v>
      </c>
      <c r="I21" s="249" t="e">
        <f t="shared" si="0"/>
        <v>#VALUE!</v>
      </c>
      <c r="K21" s="181"/>
    </row>
    <row r="22" spans="1:11">
      <c r="A22" s="18"/>
      <c r="B22" s="18">
        <v>4</v>
      </c>
      <c r="C22" s="18" t="s">
        <v>51</v>
      </c>
      <c r="D22" s="69" t="s">
        <v>41</v>
      </c>
      <c r="E22" s="69" t="s">
        <v>42</v>
      </c>
      <c r="F22" s="70" t="s">
        <v>43</v>
      </c>
      <c r="G22" s="70" t="s">
        <v>43</v>
      </c>
      <c r="H22" s="70" t="s">
        <v>44</v>
      </c>
      <c r="I22" s="249" t="e">
        <f t="shared" si="0"/>
        <v>#VALUE!</v>
      </c>
    </row>
    <row r="23" spans="1:11">
      <c r="A23" s="18"/>
      <c r="B23" s="18">
        <v>5</v>
      </c>
      <c r="C23" s="18" t="s">
        <v>52</v>
      </c>
      <c r="D23" s="69" t="s">
        <v>41</v>
      </c>
      <c r="E23" s="69" t="s">
        <v>42</v>
      </c>
      <c r="F23" s="70" t="s">
        <v>43</v>
      </c>
      <c r="G23" s="70" t="s">
        <v>43</v>
      </c>
      <c r="H23" s="70" t="s">
        <v>44</v>
      </c>
      <c r="I23" s="249" t="e">
        <f t="shared" si="0"/>
        <v>#VALUE!</v>
      </c>
    </row>
    <row r="24" spans="1:11">
      <c r="A24" s="18"/>
      <c r="B24" s="18"/>
      <c r="C24" s="18"/>
      <c r="D24" s="18"/>
      <c r="E24" s="18"/>
      <c r="F24" s="250"/>
      <c r="G24" s="250"/>
      <c r="H24" s="251"/>
      <c r="I24" s="250"/>
    </row>
    <row r="25" spans="1:11" ht="30" customHeight="1">
      <c r="A25" s="18"/>
      <c r="B25" s="18">
        <v>6</v>
      </c>
      <c r="C25" s="19" t="s">
        <v>53</v>
      </c>
      <c r="D25" s="45">
        <f t="shared" ref="D25:I25" si="1">SUM(D19:D23)</f>
        <v>0</v>
      </c>
      <c r="E25" s="45">
        <f t="shared" si="1"/>
        <v>0</v>
      </c>
      <c r="F25" s="45">
        <f t="shared" si="1"/>
        <v>0</v>
      </c>
      <c r="G25" s="45">
        <f t="shared" si="1"/>
        <v>0</v>
      </c>
      <c r="H25" s="45">
        <f t="shared" si="1"/>
        <v>0</v>
      </c>
      <c r="I25" s="45" t="e">
        <f t="shared" si="1"/>
        <v>#VALUE!</v>
      </c>
    </row>
    <row r="26" spans="1:11">
      <c r="A26" s="18"/>
      <c r="C26" s="18"/>
      <c r="D26" s="18"/>
      <c r="E26" s="18"/>
      <c r="F26" s="250"/>
      <c r="G26" s="250"/>
      <c r="H26" s="251"/>
      <c r="I26" s="250"/>
    </row>
    <row r="27" spans="1:11">
      <c r="A27" s="18"/>
      <c r="B27" s="18">
        <v>7</v>
      </c>
      <c r="C27" s="18" t="s">
        <v>54</v>
      </c>
      <c r="D27" s="184" t="e">
        <f t="shared" ref="D27:H27" si="2">D25-D23</f>
        <v>#VALUE!</v>
      </c>
      <c r="E27" s="184" t="e">
        <f t="shared" si="2"/>
        <v>#VALUE!</v>
      </c>
      <c r="F27" s="184" t="e">
        <f t="shared" si="2"/>
        <v>#VALUE!</v>
      </c>
      <c r="G27" s="184" t="e">
        <f t="shared" si="2"/>
        <v>#VALUE!</v>
      </c>
      <c r="H27" s="184" t="e">
        <f t="shared" si="2"/>
        <v>#VALUE!</v>
      </c>
      <c r="I27" s="249" t="e">
        <f t="shared" ref="I27:I28" si="3">H27+G27-F27</f>
        <v>#VALUE!</v>
      </c>
    </row>
    <row r="28" spans="1:11" ht="30.75" customHeight="1">
      <c r="A28" s="18"/>
      <c r="B28" s="18">
        <v>8</v>
      </c>
      <c r="C28" s="18" t="s">
        <v>55</v>
      </c>
      <c r="D28" s="185" t="s">
        <v>56</v>
      </c>
      <c r="E28" s="185" t="s">
        <v>57</v>
      </c>
      <c r="F28" s="186" t="s">
        <v>58</v>
      </c>
      <c r="G28" s="186" t="str">
        <f>F28</f>
        <v>${claimVO.summaryCalculations.overHeads.overHeadInPrevClaim}</v>
      </c>
      <c r="H28" s="192" t="e" cm="1">
        <f t="array" aca="1" ref="H28" ca="1">SUMPRODUCT(MID(0&amp;LEFT(C28,LEN(C28)-FIND("%",C28)), LARGE(INDEX(ISNUMBER(--MID(LEFT(C28,LEN(C28)-FIND("%",C28)), ROW(INDIRECT("1:"&amp;LEN(LEFT(C28,LEN(C28)-FIND("%",C28))))), 1)) * ROW(INDIRECT("1:"&amp;LEN(LEFT(C28,LEN(C28)-FIND("%",C28))))), 0), ROW(INDIRECT("1:"&amp;LEN(LEFT(C28,LEN(C28)-FIND("%",C28))))))+1, 1) * 10^ROW(INDIRECT("1:"&amp;LEN(LEFT(C28,LEN(C28)-FIND("%",C28)))))/10)%*H27</f>
        <v>#VALUE!</v>
      </c>
      <c r="I28" s="249" t="e">
        <f t="shared" ca="1" si="3"/>
        <v>#VALUE!</v>
      </c>
    </row>
    <row r="29" spans="1:11">
      <c r="A29" s="18"/>
      <c r="B29" s="18"/>
      <c r="C29" s="18"/>
      <c r="D29" s="18"/>
      <c r="E29" s="18"/>
      <c r="F29" s="250"/>
      <c r="G29" s="250"/>
      <c r="H29" s="251"/>
      <c r="I29" s="250"/>
    </row>
    <row r="30" spans="1:11" ht="33.950000000000003" customHeight="1" thickBot="1">
      <c r="B30" s="252"/>
      <c r="C30" s="40" t="s">
        <v>59</v>
      </c>
      <c r="D30" s="46" t="e">
        <f t="shared" ref="D30:H30" si="4">D25+D28</f>
        <v>#VALUE!</v>
      </c>
      <c r="E30" s="46" t="e">
        <f t="shared" si="4"/>
        <v>#VALUE!</v>
      </c>
      <c r="F30" s="46" t="e">
        <f t="shared" si="4"/>
        <v>#VALUE!</v>
      </c>
      <c r="G30" s="46" t="e">
        <f t="shared" si="4"/>
        <v>#VALUE!</v>
      </c>
      <c r="H30" s="46" t="e">
        <f t="shared" ca="1" si="4"/>
        <v>#VALUE!</v>
      </c>
      <c r="I30" s="46" t="e">
        <f ca="1">I25+I28</f>
        <v>#VALUE!</v>
      </c>
    </row>
    <row r="31" spans="1:11" ht="15.75" thickTop="1">
      <c r="A31" s="252"/>
      <c r="B31" s="252"/>
      <c r="C31" s="40"/>
      <c r="D31" s="252"/>
      <c r="E31" s="252"/>
      <c r="F31" s="250"/>
      <c r="G31" s="250"/>
      <c r="H31" s="251"/>
      <c r="I31" s="250"/>
    </row>
    <row r="32" spans="1:11" ht="15.75" thickBot="1">
      <c r="A32" s="247"/>
      <c r="B32" s="247"/>
      <c r="C32" s="247"/>
      <c r="D32" s="247"/>
      <c r="E32" s="247"/>
      <c r="F32" s="247"/>
      <c r="G32" s="247"/>
      <c r="H32" s="16" t="s">
        <v>60</v>
      </c>
      <c r="I32" s="253" t="e">
        <f ca="1">I30</f>
        <v>#VALUE!</v>
      </c>
    </row>
    <row r="33" spans="1:9" ht="15.75" thickTop="1">
      <c r="A33" s="5"/>
      <c r="B33" s="5"/>
      <c r="C33" s="5"/>
      <c r="D33" s="5"/>
      <c r="E33" s="5"/>
      <c r="F33" s="5"/>
      <c r="G33" s="5"/>
      <c r="H33" s="5"/>
      <c r="I33" s="6"/>
    </row>
    <row r="34" spans="1:9">
      <c r="A34" s="5"/>
      <c r="B34" s="41" t="s">
        <v>61</v>
      </c>
      <c r="C34" s="196" t="s">
        <v>62</v>
      </c>
      <c r="D34" s="196"/>
      <c r="E34" s="196"/>
      <c r="F34" s="196"/>
      <c r="G34" s="5"/>
      <c r="H34" s="5"/>
      <c r="I34" s="6"/>
    </row>
    <row r="35" spans="1:9">
      <c r="A35" s="5"/>
      <c r="B35" s="5"/>
      <c r="C35" s="5"/>
      <c r="D35" s="5"/>
      <c r="E35" s="5"/>
      <c r="F35" s="5"/>
      <c r="G35" s="5"/>
      <c r="H35" s="5"/>
      <c r="I35" s="5"/>
    </row>
    <row r="36" spans="1:9">
      <c r="A36" s="7" t="s">
        <v>63</v>
      </c>
      <c r="B36" s="7"/>
      <c r="C36" s="7"/>
      <c r="D36" s="7"/>
      <c r="E36" s="7"/>
      <c r="F36" s="5"/>
      <c r="G36" s="5"/>
      <c r="H36" s="5"/>
      <c r="I36" s="5"/>
    </row>
    <row r="37" spans="1:9">
      <c r="A37" s="5" t="s">
        <v>64</v>
      </c>
      <c r="B37" s="5"/>
      <c r="C37" s="5"/>
      <c r="D37" s="5"/>
      <c r="E37" s="5"/>
      <c r="F37" s="5"/>
      <c r="G37" s="5"/>
      <c r="H37" s="5"/>
      <c r="I37" s="5"/>
    </row>
    <row r="38" spans="1:9">
      <c r="A38" s="5" t="s">
        <v>65</v>
      </c>
      <c r="B38" s="5"/>
      <c r="C38" s="5"/>
      <c r="D38" s="5"/>
      <c r="E38" s="5"/>
      <c r="F38" s="5"/>
      <c r="G38" s="5"/>
      <c r="H38" s="5"/>
      <c r="I38" s="5"/>
    </row>
    <row r="39" spans="1:9">
      <c r="A39" s="5"/>
      <c r="B39" s="5"/>
      <c r="C39" s="5"/>
      <c r="D39" s="5"/>
      <c r="E39" s="5"/>
      <c r="F39" s="5"/>
      <c r="G39" s="5"/>
      <c r="H39" s="5"/>
      <c r="I39" s="5"/>
    </row>
    <row r="40" spans="1:9">
      <c r="A40" s="5"/>
      <c r="B40" s="5"/>
      <c r="C40" s="5"/>
      <c r="D40" s="5"/>
      <c r="E40" s="5"/>
      <c r="F40" s="5"/>
      <c r="G40" s="5"/>
      <c r="H40" s="5"/>
      <c r="I40" s="5"/>
    </row>
    <row r="41" spans="1:9">
      <c r="A41" s="5"/>
      <c r="B41" s="5"/>
      <c r="C41" s="5"/>
      <c r="D41" s="5"/>
      <c r="E41" s="5"/>
      <c r="F41" s="5"/>
      <c r="G41" s="5"/>
      <c r="H41" s="5"/>
      <c r="I41" s="5"/>
    </row>
    <row r="42" spans="1:9">
      <c r="A42" s="8"/>
      <c r="B42" s="8"/>
      <c r="C42" s="8"/>
      <c r="D42" s="8"/>
      <c r="E42" s="5"/>
      <c r="F42" s="5"/>
      <c r="G42" s="5"/>
      <c r="H42" s="5"/>
      <c r="I42" s="5"/>
    </row>
    <row r="43" spans="1:9">
      <c r="A43" s="5" t="s">
        <v>66</v>
      </c>
      <c r="B43" s="5"/>
      <c r="C43" s="5"/>
      <c r="D43" s="5"/>
      <c r="E43" s="5"/>
      <c r="F43" s="5"/>
      <c r="G43" s="5"/>
      <c r="H43" s="5"/>
      <c r="I43" s="5"/>
    </row>
    <row r="44" spans="1:9">
      <c r="A44" s="5" t="s">
        <v>67</v>
      </c>
      <c r="B44" s="5"/>
      <c r="C44" s="66" t="s">
        <v>68</v>
      </c>
      <c r="D44" s="5"/>
      <c r="E44" s="5"/>
      <c r="F44" s="5"/>
      <c r="G44" s="5"/>
      <c r="H44" s="5"/>
      <c r="I44" s="5"/>
    </row>
    <row r="45" spans="1:9">
      <c r="B45" s="5"/>
      <c r="C45" s="5"/>
      <c r="D45" s="5"/>
      <c r="E45" s="5"/>
      <c r="F45" s="5"/>
      <c r="G45" s="5"/>
      <c r="H45" s="5"/>
      <c r="I45" s="5"/>
    </row>
    <row r="46" spans="1:9">
      <c r="A46" s="57"/>
      <c r="B46" s="5"/>
      <c r="C46" s="5"/>
      <c r="D46" s="5"/>
      <c r="E46" s="5"/>
      <c r="F46" s="5"/>
      <c r="G46" s="5"/>
      <c r="H46" s="5"/>
      <c r="I46" s="5"/>
    </row>
    <row r="47" spans="1:9">
      <c r="A47" s="8"/>
      <c r="B47" s="8"/>
      <c r="C47" s="8"/>
      <c r="D47" s="8"/>
      <c r="E47" s="5"/>
      <c r="F47" s="5"/>
      <c r="G47" s="5"/>
      <c r="H47" s="5"/>
      <c r="I47" s="5"/>
    </row>
    <row r="48" spans="1:9">
      <c r="A48" s="5" t="s">
        <v>69</v>
      </c>
      <c r="B48" s="5"/>
      <c r="C48" s="5"/>
      <c r="D48" s="5"/>
      <c r="E48" s="5"/>
      <c r="F48" s="5"/>
      <c r="G48" s="5"/>
      <c r="H48" s="5"/>
      <c r="I48" s="5"/>
    </row>
    <row r="49" spans="1:9">
      <c r="A49" s="5" t="s">
        <v>70</v>
      </c>
      <c r="B49" s="5"/>
      <c r="C49" s="66" t="s">
        <v>71</v>
      </c>
      <c r="D49" s="5"/>
      <c r="E49" s="5"/>
      <c r="F49" s="5"/>
      <c r="G49" s="5"/>
      <c r="H49" s="5"/>
      <c r="I49" s="5"/>
    </row>
    <row r="50" spans="1:9">
      <c r="B50" s="5"/>
      <c r="C50" s="5"/>
      <c r="D50" s="5"/>
      <c r="E50" s="5"/>
      <c r="F50" s="5"/>
      <c r="G50" s="5"/>
      <c r="H50" s="5"/>
      <c r="I50" s="5"/>
    </row>
    <row r="51" spans="1:9">
      <c r="A51" s="57"/>
      <c r="B51" s="5"/>
      <c r="C51" s="5"/>
      <c r="D51" s="5"/>
      <c r="E51" s="5"/>
      <c r="F51" s="5"/>
      <c r="G51" s="5"/>
      <c r="H51" s="5"/>
      <c r="I51" s="5"/>
    </row>
    <row r="52" spans="1:9">
      <c r="A52" s="9" t="s">
        <v>72</v>
      </c>
      <c r="B52" s="9"/>
      <c r="C52" s="9"/>
      <c r="D52" s="9"/>
      <c r="E52" s="9"/>
      <c r="F52" s="5"/>
      <c r="G52" s="5"/>
      <c r="H52" s="5"/>
      <c r="I52" s="5"/>
    </row>
    <row r="53" spans="1:9">
      <c r="A53" s="9"/>
      <c r="B53" s="9"/>
      <c r="C53" s="9"/>
      <c r="D53" s="9"/>
      <c r="E53" s="9"/>
      <c r="F53" s="5"/>
      <c r="G53" s="5"/>
      <c r="H53" s="5"/>
      <c r="I53" s="5"/>
    </row>
    <row r="54" spans="1:9">
      <c r="A54" s="9"/>
      <c r="B54" s="9"/>
      <c r="C54" s="9"/>
      <c r="D54" s="9"/>
      <c r="E54" s="9"/>
      <c r="F54" s="5"/>
      <c r="G54" s="5"/>
      <c r="H54" s="5"/>
      <c r="I54" s="5"/>
    </row>
    <row r="55" spans="1:9">
      <c r="A55" s="194" t="s">
        <v>73</v>
      </c>
      <c r="B55" s="9"/>
      <c r="C55" s="9"/>
      <c r="D55" s="9"/>
      <c r="E55" s="9"/>
      <c r="F55" s="5"/>
      <c r="G55" s="5"/>
      <c r="H55" s="5"/>
      <c r="I55" s="5"/>
    </row>
    <row r="56" spans="1:9">
      <c r="A56" s="5"/>
      <c r="B56" s="5"/>
      <c r="C56" s="5"/>
      <c r="D56" s="5"/>
      <c r="E56" s="5"/>
      <c r="F56" s="5"/>
      <c r="G56" s="5"/>
      <c r="H56" s="5"/>
      <c r="I56" s="5"/>
    </row>
    <row r="57" spans="1:9">
      <c r="A57" s="5"/>
      <c r="B57" s="5"/>
      <c r="C57" s="5"/>
      <c r="D57" s="5"/>
      <c r="E57" s="5"/>
      <c r="F57" s="5"/>
      <c r="G57" s="5"/>
      <c r="H57" s="5"/>
      <c r="I57" s="5"/>
    </row>
    <row r="58" spans="1:9">
      <c r="A58" s="10"/>
      <c r="B58" s="10"/>
      <c r="C58" s="10"/>
      <c r="D58" s="10"/>
      <c r="E58" s="10"/>
      <c r="F58" s="5"/>
      <c r="G58" s="5"/>
      <c r="H58" s="5"/>
      <c r="I58" s="5"/>
    </row>
    <row r="59" spans="1:9">
      <c r="A59" s="11" t="s">
        <v>74</v>
      </c>
      <c r="B59" s="11"/>
      <c r="C59" s="11"/>
      <c r="D59" s="11"/>
      <c r="E59" s="11"/>
      <c r="F59" s="5"/>
      <c r="G59" s="5"/>
      <c r="H59" s="5"/>
      <c r="I59" s="5"/>
    </row>
    <row r="60" spans="1:9">
      <c r="A60" s="5"/>
      <c r="B60" s="5"/>
      <c r="C60" s="5"/>
      <c r="D60" s="5"/>
      <c r="E60" s="5"/>
      <c r="F60" s="5"/>
      <c r="G60" s="5"/>
      <c r="H60" s="5"/>
      <c r="I60" s="5"/>
    </row>
    <row r="61" spans="1:9">
      <c r="A61" s="195" t="s">
        <v>75</v>
      </c>
      <c r="B61" s="195"/>
      <c r="C61" s="195"/>
      <c r="D61" s="195"/>
      <c r="E61" s="195"/>
      <c r="F61" s="58" t="s">
        <v>76</v>
      </c>
      <c r="G61" s="12"/>
      <c r="H61" s="5"/>
      <c r="I61" s="5"/>
    </row>
    <row r="62" spans="1:9">
      <c r="A62" s="195" t="s">
        <v>77</v>
      </c>
      <c r="B62" s="195"/>
      <c r="C62" s="195"/>
      <c r="D62" s="195"/>
      <c r="E62" s="195"/>
      <c r="F62" s="58" t="s">
        <v>1</v>
      </c>
      <c r="G62" s="12"/>
      <c r="H62" s="5"/>
      <c r="I62" s="5"/>
    </row>
    <row r="63" spans="1:9">
      <c r="A63" s="195" t="s">
        <v>78</v>
      </c>
      <c r="B63" s="195"/>
      <c r="C63" s="195"/>
      <c r="D63" s="195"/>
      <c r="E63" s="195"/>
      <c r="F63" s="58" t="s">
        <v>79</v>
      </c>
      <c r="G63" s="12"/>
      <c r="H63" s="5"/>
      <c r="I63" s="5"/>
    </row>
    <row r="64" spans="1:9">
      <c r="A64" s="5"/>
      <c r="B64" s="5"/>
      <c r="C64" s="5"/>
      <c r="D64" s="5"/>
      <c r="E64" s="5"/>
      <c r="F64" s="5"/>
      <c r="G64" s="5"/>
      <c r="H64" s="5"/>
      <c r="I64" s="5"/>
    </row>
  </sheetData>
  <mergeCells count="4">
    <mergeCell ref="A61:E61"/>
    <mergeCell ref="A62:E62"/>
    <mergeCell ref="A63:E63"/>
    <mergeCell ref="C34:F34"/>
  </mergeCells>
  <pageMargins left="0.25" right="0.25" top="0.75" bottom="0.75" header="0.3" footer="0.3"/>
  <pageSetup scale="45"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70"/>
  <sheetViews>
    <sheetView tabSelected="1" topLeftCell="A20" zoomScale="90" zoomScaleNormal="90" workbookViewId="0">
      <selection activeCell="C28" sqref="C28"/>
    </sheetView>
  </sheetViews>
  <sheetFormatPr defaultRowHeight="15"/>
  <cols>
    <col min="1" max="1" width="23.85546875" customWidth="1"/>
    <col min="2" max="2" width="4.5703125" customWidth="1"/>
    <col min="3" max="3" width="57.42578125" customWidth="1"/>
    <col min="4" max="5" width="25.85546875" customWidth="1"/>
    <col min="6" max="6" width="28.7109375" customWidth="1"/>
    <col min="7" max="10" width="25.85546875" customWidth="1"/>
    <col min="11" max="11" width="26.140625" customWidth="1"/>
  </cols>
  <sheetData>
    <row r="1" spans="1:10" ht="15.75">
      <c r="A1" s="1" t="s">
        <v>0</v>
      </c>
      <c r="C1" s="56" t="s">
        <v>1</v>
      </c>
      <c r="D1" s="53"/>
    </row>
    <row r="2" spans="1:10" ht="15.75">
      <c r="A2" s="1"/>
    </row>
    <row r="3" spans="1:10" ht="15.75">
      <c r="A3" s="2" t="s">
        <v>80</v>
      </c>
      <c r="B3" s="2"/>
      <c r="C3" s="2"/>
    </row>
    <row r="4" spans="1:10" ht="15.75">
      <c r="A4" s="2"/>
      <c r="B4" s="2"/>
      <c r="C4" s="2"/>
    </row>
    <row r="5" spans="1:10" ht="15.75">
      <c r="A5" s="42" t="s">
        <v>5</v>
      </c>
      <c r="B5" s="2"/>
      <c r="C5" s="55" t="s">
        <v>6</v>
      </c>
    </row>
    <row r="6" spans="1:10" ht="15.75">
      <c r="A6" s="20" t="s">
        <v>7</v>
      </c>
      <c r="B6" s="2"/>
      <c r="C6" s="55" t="s">
        <v>8</v>
      </c>
    </row>
    <row r="7" spans="1:10" ht="15.75">
      <c r="A7" s="20" t="s">
        <v>9</v>
      </c>
      <c r="B7" s="2"/>
      <c r="C7" s="55" t="s">
        <v>10</v>
      </c>
    </row>
    <row r="8" spans="1:10" ht="15.75">
      <c r="A8" s="20" t="s">
        <v>81</v>
      </c>
      <c r="B8" s="2"/>
      <c r="C8" s="55" t="s">
        <v>12</v>
      </c>
    </row>
    <row r="9" spans="1:10" ht="15.75">
      <c r="A9" s="20" t="s">
        <v>13</v>
      </c>
      <c r="B9" s="2"/>
      <c r="C9" s="55"/>
    </row>
    <row r="10" spans="1:10" ht="15.75">
      <c r="A10" s="20" t="s">
        <v>14</v>
      </c>
      <c r="B10" s="2"/>
      <c r="C10" s="55" t="s">
        <v>15</v>
      </c>
    </row>
    <row r="11" spans="1:10" ht="15.75">
      <c r="A11" s="20" t="s">
        <v>16</v>
      </c>
      <c r="B11" s="2"/>
      <c r="C11" s="55" t="s">
        <v>17</v>
      </c>
    </row>
    <row r="12" spans="1:10" ht="15.75">
      <c r="A12" s="20" t="s">
        <v>18</v>
      </c>
      <c r="B12" s="3"/>
      <c r="C12" s="55" t="s">
        <v>19</v>
      </c>
    </row>
    <row r="13" spans="1:10">
      <c r="A13" s="4"/>
      <c r="B13" s="4"/>
      <c r="C13" s="4"/>
      <c r="D13" s="4"/>
      <c r="E13" s="4"/>
      <c r="F13" s="4"/>
      <c r="G13" s="4"/>
      <c r="H13" s="4"/>
      <c r="I13" s="4"/>
      <c r="J13" s="4"/>
    </row>
    <row r="14" spans="1:10" s="51" customFormat="1" ht="51" customHeight="1">
      <c r="A14" s="48"/>
      <c r="B14" s="48"/>
      <c r="C14" s="52" t="s">
        <v>20</v>
      </c>
      <c r="D14" s="49" t="s">
        <v>21</v>
      </c>
      <c r="E14" s="49" t="s">
        <v>82</v>
      </c>
      <c r="F14" s="49" t="s">
        <v>83</v>
      </c>
      <c r="G14" s="49" t="s">
        <v>24</v>
      </c>
      <c r="H14" s="49" t="s">
        <v>84</v>
      </c>
      <c r="I14" s="49" t="s">
        <v>85</v>
      </c>
      <c r="J14" s="49" t="s">
        <v>86</v>
      </c>
    </row>
    <row r="15" spans="1:10" ht="29.25">
      <c r="A15" s="72"/>
      <c r="B15" s="72"/>
      <c r="C15" s="72"/>
      <c r="D15" s="72"/>
      <c r="E15" s="254"/>
      <c r="F15" s="67" t="s">
        <v>27</v>
      </c>
      <c r="G15" s="67" t="s">
        <v>27</v>
      </c>
      <c r="H15" s="67" t="s">
        <v>4</v>
      </c>
      <c r="I15" s="255"/>
      <c r="J15" s="255"/>
    </row>
    <row r="16" spans="1:10">
      <c r="A16" s="247"/>
      <c r="B16" s="247"/>
      <c r="C16" s="247"/>
      <c r="D16" s="247"/>
      <c r="E16" s="250"/>
      <c r="F16" s="36" t="s">
        <v>28</v>
      </c>
      <c r="G16" s="36" t="s">
        <v>29</v>
      </c>
      <c r="H16" s="36" t="s">
        <v>30</v>
      </c>
      <c r="I16" s="36" t="s">
        <v>87</v>
      </c>
      <c r="J16" s="15" t="s">
        <v>88</v>
      </c>
    </row>
    <row r="17" spans="1:10" ht="38.25">
      <c r="A17" s="247"/>
      <c r="B17" s="247"/>
      <c r="C17" s="247"/>
      <c r="D17" s="37" t="s">
        <v>34</v>
      </c>
      <c r="E17" s="37" t="s">
        <v>35</v>
      </c>
      <c r="F17" s="38" t="s">
        <v>89</v>
      </c>
      <c r="G17" s="38" t="s">
        <v>37</v>
      </c>
      <c r="H17" s="39" t="s">
        <v>38</v>
      </c>
      <c r="I17" s="36"/>
      <c r="J17" s="39" t="s">
        <v>90</v>
      </c>
    </row>
    <row r="18" spans="1:10" ht="25.5">
      <c r="A18" s="18"/>
      <c r="B18" s="18">
        <v>1</v>
      </c>
      <c r="C18" s="18" t="s">
        <v>40</v>
      </c>
      <c r="D18" s="69" t="s">
        <v>41</v>
      </c>
      <c r="E18" s="69" t="s">
        <v>42</v>
      </c>
      <c r="F18" s="70" t="s">
        <v>43</v>
      </c>
      <c r="G18" s="70" t="s">
        <v>43</v>
      </c>
      <c r="H18" s="71" t="s">
        <v>44</v>
      </c>
      <c r="I18" s="249" t="e">
        <f>G18+H18</f>
        <v>#VALUE!</v>
      </c>
      <c r="J18" s="249" t="e">
        <f>F18-I18</f>
        <v>#VALUE!</v>
      </c>
    </row>
    <row r="19" spans="1:10" ht="25.5">
      <c r="A19" s="18"/>
      <c r="B19" s="18">
        <v>2</v>
      </c>
      <c r="C19" s="18" t="s">
        <v>45</v>
      </c>
      <c r="D19" s="69" t="s">
        <v>41</v>
      </c>
      <c r="E19" s="69" t="s">
        <v>42</v>
      </c>
      <c r="F19" s="70" t="s">
        <v>43</v>
      </c>
      <c r="G19" s="70" t="s">
        <v>43</v>
      </c>
      <c r="H19" s="70" t="s">
        <v>44</v>
      </c>
      <c r="I19" s="249" t="e">
        <f t="shared" ref="I19:I22" si="0">G19+H19</f>
        <v>#VALUE!</v>
      </c>
      <c r="J19" s="249" t="e">
        <f t="shared" ref="J19:J22" si="1">F19-I19</f>
        <v>#VALUE!</v>
      </c>
    </row>
    <row r="20" spans="1:10" ht="38.25">
      <c r="A20" s="18"/>
      <c r="B20" s="18">
        <v>3</v>
      </c>
      <c r="C20" s="18" t="s">
        <v>46</v>
      </c>
      <c r="D20" s="69" t="s">
        <v>47</v>
      </c>
      <c r="E20" s="69" t="s">
        <v>48</v>
      </c>
      <c r="F20" s="70" t="s">
        <v>49</v>
      </c>
      <c r="G20" s="70" t="s">
        <v>49</v>
      </c>
      <c r="H20" s="70" t="s">
        <v>50</v>
      </c>
      <c r="I20" s="249" t="e">
        <f t="shared" si="0"/>
        <v>#VALUE!</v>
      </c>
      <c r="J20" s="249" t="e">
        <f t="shared" si="1"/>
        <v>#VALUE!</v>
      </c>
    </row>
    <row r="21" spans="1:10" ht="25.5">
      <c r="A21" s="18"/>
      <c r="B21" s="18">
        <v>4</v>
      </c>
      <c r="C21" s="18" t="s">
        <v>51</v>
      </c>
      <c r="D21" s="69" t="s">
        <v>41</v>
      </c>
      <c r="E21" s="69" t="s">
        <v>42</v>
      </c>
      <c r="F21" s="70" t="s">
        <v>43</v>
      </c>
      <c r="G21" s="70" t="s">
        <v>43</v>
      </c>
      <c r="H21" s="70" t="s">
        <v>44</v>
      </c>
      <c r="I21" s="249" t="e">
        <f t="shared" si="0"/>
        <v>#VALUE!</v>
      </c>
      <c r="J21" s="249" t="e">
        <f t="shared" si="1"/>
        <v>#VALUE!</v>
      </c>
    </row>
    <row r="22" spans="1:10" ht="25.5">
      <c r="A22" s="18"/>
      <c r="B22" s="18">
        <v>5</v>
      </c>
      <c r="C22" s="18" t="s">
        <v>52</v>
      </c>
      <c r="D22" s="69" t="s">
        <v>41</v>
      </c>
      <c r="E22" s="69" t="s">
        <v>42</v>
      </c>
      <c r="F22" s="70" t="s">
        <v>43</v>
      </c>
      <c r="G22" s="70" t="s">
        <v>43</v>
      </c>
      <c r="H22" s="70" t="s">
        <v>44</v>
      </c>
      <c r="I22" s="249" t="e">
        <f t="shared" si="0"/>
        <v>#VALUE!</v>
      </c>
      <c r="J22" s="249" t="e">
        <f t="shared" si="1"/>
        <v>#VALUE!</v>
      </c>
    </row>
    <row r="23" spans="1:10">
      <c r="A23" s="18"/>
      <c r="B23" s="18"/>
      <c r="C23" s="18"/>
      <c r="D23" s="18"/>
      <c r="E23" s="250"/>
      <c r="F23" s="250"/>
      <c r="G23" s="250"/>
      <c r="H23" s="250"/>
      <c r="I23" s="251"/>
      <c r="J23" s="251"/>
    </row>
    <row r="24" spans="1:10" ht="25.5">
      <c r="A24" s="18"/>
      <c r="B24" s="18">
        <v>6</v>
      </c>
      <c r="C24" s="19" t="s">
        <v>53</v>
      </c>
      <c r="D24" s="256">
        <f>SUM(D18:D22)</f>
        <v>0</v>
      </c>
      <c r="E24" s="256">
        <f t="shared" ref="E24:I24" si="2">SUM(E18:E22)</f>
        <v>0</v>
      </c>
      <c r="F24" s="256">
        <f t="shared" si="2"/>
        <v>0</v>
      </c>
      <c r="G24" s="256">
        <f t="shared" si="2"/>
        <v>0</v>
      </c>
      <c r="H24" s="256">
        <f t="shared" si="2"/>
        <v>0</v>
      </c>
      <c r="I24" s="256" t="e">
        <f t="shared" si="2"/>
        <v>#VALUE!</v>
      </c>
      <c r="J24" s="256" t="e">
        <f>SUM(J18:J22)</f>
        <v>#VALUE!</v>
      </c>
    </row>
    <row r="25" spans="1:10">
      <c r="A25" s="18"/>
      <c r="C25" s="18"/>
      <c r="D25" s="18"/>
      <c r="E25" s="250"/>
      <c r="F25" s="250"/>
      <c r="G25" s="250"/>
      <c r="H25" s="250"/>
      <c r="I25" s="251"/>
      <c r="J25" s="251"/>
    </row>
    <row r="26" spans="1:10">
      <c r="A26" s="18"/>
      <c r="B26" s="18">
        <v>7</v>
      </c>
      <c r="C26" s="18" t="s">
        <v>54</v>
      </c>
      <c r="D26" s="257" t="e">
        <f>D24-D22</f>
        <v>#VALUE!</v>
      </c>
      <c r="E26" s="257" t="e">
        <f t="shared" ref="E26:H26" si="3">E24-E22</f>
        <v>#VALUE!</v>
      </c>
      <c r="F26" s="257" t="e">
        <f t="shared" si="3"/>
        <v>#VALUE!</v>
      </c>
      <c r="G26" s="257" t="e">
        <f t="shared" si="3"/>
        <v>#VALUE!</v>
      </c>
      <c r="H26" s="257" t="e">
        <f t="shared" si="3"/>
        <v>#VALUE!</v>
      </c>
      <c r="I26" s="249" t="e">
        <f t="shared" ref="I26" si="4">G26+H26</f>
        <v>#VALUE!</v>
      </c>
      <c r="J26" s="249" t="e">
        <f>F26-I26</f>
        <v>#VALUE!</v>
      </c>
    </row>
    <row r="27" spans="1:10">
      <c r="A27" s="18"/>
      <c r="B27" s="18">
        <v>8</v>
      </c>
      <c r="C27" s="18" t="s">
        <v>91</v>
      </c>
      <c r="D27" s="258" t="e" cm="1">
        <f t="array" aca="1" ref="D27" ca="1">SUMPRODUCT(MID(0&amp;LEFT(C27,LEN(C27)-FIND("%",C27)), LARGE(INDEX(ISNUMBER(--MID(LEFT(C27,LEN(C27)-FIND("%",C27)), ROW(INDIRECT("1:"&amp;LEN(LEFT(C27,LEN(C27)-FIND("%",C27))))), 1)) * ROW(INDIRECT("1:"&amp;LEN(LEFT(C27,LEN(C27)-FIND("%",C27))))), 0), ROW(INDIRECT("1:"&amp;LEN(LEFT(C27,LEN(C27)-FIND("%",C27))))))+1, 1) * 10^ROW(INDIRECT("1:"&amp;LEN(LEFT(C27,LEN(C27)-FIND("%",C27)))))/10)%*D26</f>
        <v>#VALUE!</v>
      </c>
      <c r="E27" s="258" t="e" cm="1">
        <f t="array" aca="1" ref="E27" ca="1">SUMPRODUCT(MID(0&amp;LEFT(C27,LEN(C27)-FIND("%",C27)), LARGE(INDEX(ISNUMBER(--MID(LEFT(C27,LEN(C27)-FIND("%",C27)), ROW(INDIRECT("1:"&amp;LEN(LEFT(C27,LEN(C27)-FIND("%",C27))))), 1)) * ROW(INDIRECT("1:"&amp;LEN(LEFT(C27,LEN(C27)-FIND("%",C27))))), 0), ROW(INDIRECT("1:"&amp;LEN(LEFT(C27,LEN(C27)-FIND("%",C27))))))+1, 1) * 10^ROW(INDIRECT("1:"&amp;LEN(LEFT(C27,LEN(C27)-FIND("%",C27)))))/10)%*E26</f>
        <v>#VALUE!</v>
      </c>
      <c r="F27" s="186" t="s">
        <v>58</v>
      </c>
      <c r="G27" s="186" t="str">
        <f>F27</f>
        <v>${claimVO.summaryCalculations.overHeads.overHeadInPrevClaim}</v>
      </c>
      <c r="H27" s="258" t="e" cm="1">
        <f t="array" aca="1" ref="H27" ca="1">SUMPRODUCT(MID(0&amp;LEFT(C27,LEN(C27)-FIND("%",C27)), LARGE(INDEX(ISNUMBER(--MID(LEFT(C27,LEN(C27)-FIND("%",C27)), ROW(INDIRECT("1:"&amp;LEN(LEFT(C27,LEN(C27)-FIND("%",C27))))), 1)) * ROW(INDIRECT("1:"&amp;LEN(LEFT(C27,LEN(C27)-FIND("%",C27))))), 0), ROW(INDIRECT("1:"&amp;LEN(LEFT(C27,LEN(C27)-FIND("%",C27))))))+1, 1) * 10^ROW(INDIRECT("1:"&amp;LEN(LEFT(C27,LEN(C27)-FIND("%",C27)))))/10)%*H26</f>
        <v>#VALUE!</v>
      </c>
      <c r="I27" s="258" t="e" cm="1">
        <f t="array" aca="1" ref="I27" ca="1">SUMPRODUCT(MID(0&amp;LEFT(C27,LEN(C27)-FIND("%",C27)), LARGE(INDEX(ISNUMBER(--MID(LEFT(C27,LEN(C27)-FIND("%",C27)), ROW(INDIRECT("1:"&amp;LEN(LEFT(C27,LEN(C27)-FIND("%",C27))))), 1)) * ROW(INDIRECT("1:"&amp;LEN(LEFT(C27,LEN(C27)-FIND("%",C27))))), 0), ROW(INDIRECT("1:"&amp;LEN(LEFT(C27,LEN(C27)-FIND("%",C27))))))+1, 1) * 10^ROW(INDIRECT("1:"&amp;LEN(LEFT(C27,LEN(C27)-FIND("%",C27)))))/10)%*I26</f>
        <v>#VALUE!</v>
      </c>
      <c r="J27" s="258" t="e" cm="1">
        <f t="array" aca="1" ref="J27" ca="1">SUMPRODUCT(MID(0&amp;LEFT(C27,LEN(C27)-FIND("%",C27)), LARGE(INDEX(ISNUMBER(--MID(LEFT(C27,LEN(C27)-FIND("%",C27)), ROW(INDIRECT("1:"&amp;LEN(LEFT(C27,LEN(C27)-FIND("%",C27))))), 1)) * ROW(INDIRECT("1:"&amp;LEN(LEFT(C27,LEN(C27)-FIND("%",C27))))), 0), ROW(INDIRECT("1:"&amp;LEN(LEFT(C27,LEN(C27)-FIND("%",C27))))))+1, 1) * 10^ROW(INDIRECT("1:"&amp;LEN(LEFT(C27,LEN(C27)-FIND("%",C27)))))/10)%*J26</f>
        <v>#VALUE!</v>
      </c>
    </row>
    <row r="28" spans="1:10">
      <c r="A28" s="18"/>
      <c r="B28" s="18"/>
      <c r="C28" s="18"/>
      <c r="D28" s="18"/>
      <c r="E28" s="250"/>
      <c r="F28" s="250"/>
      <c r="G28" s="250"/>
      <c r="H28" s="250"/>
      <c r="I28" s="251"/>
      <c r="J28" s="251"/>
    </row>
    <row r="29" spans="1:10" ht="27" thickBot="1">
      <c r="A29" s="18"/>
      <c r="B29" s="252"/>
      <c r="C29" s="40" t="s">
        <v>92</v>
      </c>
      <c r="D29" s="259" t="e">
        <f ca="1">D24+D27</f>
        <v>#VALUE!</v>
      </c>
      <c r="E29" s="259" t="e">
        <f t="shared" ref="E29:H29" ca="1" si="5">E24+E27</f>
        <v>#VALUE!</v>
      </c>
      <c r="F29" s="259" t="e">
        <f t="shared" si="5"/>
        <v>#VALUE!</v>
      </c>
      <c r="G29" s="259" t="e">
        <f t="shared" si="5"/>
        <v>#VALUE!</v>
      </c>
      <c r="H29" s="259" t="e">
        <f t="shared" ca="1" si="5"/>
        <v>#VALUE!</v>
      </c>
      <c r="I29" s="260" t="e">
        <f ca="1">G29+H29</f>
        <v>#VALUE!</v>
      </c>
      <c r="J29" s="260" t="e">
        <f ca="1">F29-I29</f>
        <v>#VALUE!</v>
      </c>
    </row>
    <row r="30" spans="1:10" ht="15.75" thickTop="1">
      <c r="A30" s="18"/>
      <c r="B30" s="18"/>
      <c r="C30" s="18"/>
      <c r="D30" s="18"/>
      <c r="E30" s="250"/>
      <c r="F30" s="250"/>
      <c r="G30" s="250"/>
      <c r="H30" s="250"/>
      <c r="I30" s="251"/>
      <c r="J30" s="251"/>
    </row>
    <row r="31" spans="1:10">
      <c r="A31" s="252"/>
      <c r="B31" s="252"/>
      <c r="C31" s="252"/>
      <c r="D31" s="252"/>
      <c r="E31" s="250"/>
      <c r="F31" s="250"/>
      <c r="G31" s="250"/>
      <c r="H31" s="250"/>
      <c r="I31" s="261"/>
      <c r="J31" s="251"/>
    </row>
    <row r="32" spans="1:10">
      <c r="A32" s="247"/>
      <c r="B32" s="247"/>
      <c r="C32" s="247"/>
      <c r="D32" s="247"/>
      <c r="E32" s="247"/>
      <c r="F32" s="247"/>
      <c r="G32" s="247"/>
      <c r="H32" s="247"/>
      <c r="I32" s="262"/>
      <c r="J32" s="263" t="e">
        <f ca="1">J29</f>
        <v>#VALUE!</v>
      </c>
    </row>
    <row r="33" spans="1:10">
      <c r="A33" s="247"/>
      <c r="B33" s="247"/>
      <c r="C33" s="247"/>
      <c r="D33" s="247"/>
      <c r="E33" s="247"/>
      <c r="F33" s="247"/>
      <c r="G33" s="247"/>
      <c r="H33" s="247"/>
      <c r="I33" s="16" t="s">
        <v>93</v>
      </c>
      <c r="J33" s="264"/>
    </row>
    <row r="34" spans="1:10" ht="15.75" thickBot="1">
      <c r="A34" s="247"/>
      <c r="B34" s="247"/>
      <c r="C34" s="247"/>
      <c r="D34" s="247"/>
      <c r="E34" s="247"/>
      <c r="F34" s="247"/>
      <c r="G34" s="247"/>
      <c r="H34" s="247"/>
      <c r="I34" s="16" t="s">
        <v>60</v>
      </c>
      <c r="J34" s="265" t="e">
        <f ca="1">J32-J33</f>
        <v>#VALUE!</v>
      </c>
    </row>
    <row r="35" spans="1:10" ht="15.75" thickTop="1">
      <c r="A35" s="5"/>
      <c r="B35" s="5"/>
      <c r="C35" s="5"/>
      <c r="D35" s="5"/>
      <c r="E35" s="5"/>
      <c r="F35" s="5"/>
      <c r="G35" s="5"/>
      <c r="H35" s="5"/>
      <c r="I35" s="5"/>
      <c r="J35" s="6"/>
    </row>
    <row r="36" spans="1:10">
      <c r="A36" s="5"/>
      <c r="G36" s="5"/>
      <c r="H36" s="5"/>
      <c r="I36" s="17" t="s">
        <v>94</v>
      </c>
      <c r="J36" s="5"/>
    </row>
    <row r="37" spans="1:10">
      <c r="A37" s="5"/>
      <c r="B37" s="41" t="s">
        <v>61</v>
      </c>
      <c r="C37" s="197" t="s">
        <v>95</v>
      </c>
      <c r="D37" s="196"/>
      <c r="E37" s="196"/>
      <c r="F37" s="196"/>
      <c r="G37" s="5"/>
      <c r="H37" s="5"/>
      <c r="I37" s="17"/>
      <c r="J37" s="5"/>
    </row>
    <row r="38" spans="1:10">
      <c r="A38" s="5"/>
      <c r="B38" s="5"/>
      <c r="C38" s="5"/>
      <c r="D38" s="5"/>
      <c r="E38" s="5"/>
      <c r="F38" s="5"/>
      <c r="G38" s="5"/>
      <c r="H38" s="5"/>
      <c r="I38" s="17"/>
      <c r="J38" s="5"/>
    </row>
    <row r="39" spans="1:10">
      <c r="A39" s="7" t="s">
        <v>63</v>
      </c>
      <c r="B39" s="7"/>
      <c r="C39" s="7"/>
      <c r="D39" s="7"/>
      <c r="E39" s="5"/>
      <c r="F39" s="5"/>
      <c r="G39" s="5"/>
      <c r="H39" s="5"/>
      <c r="I39" s="5"/>
      <c r="J39" s="5"/>
    </row>
    <row r="40" spans="1:10">
      <c r="A40" s="5" t="s">
        <v>64</v>
      </c>
      <c r="B40" s="5"/>
      <c r="C40" s="5"/>
      <c r="D40" s="5"/>
      <c r="E40" s="5"/>
      <c r="F40" s="5"/>
      <c r="G40" s="5"/>
      <c r="H40" s="5"/>
      <c r="I40" s="5"/>
      <c r="J40" s="5"/>
    </row>
    <row r="41" spans="1:10">
      <c r="A41" s="5" t="s">
        <v>65</v>
      </c>
      <c r="B41" s="5"/>
      <c r="C41" s="5"/>
      <c r="D41" s="5"/>
      <c r="E41" s="5"/>
      <c r="F41" s="5"/>
      <c r="G41" s="5"/>
      <c r="H41" s="5"/>
      <c r="I41" s="5"/>
      <c r="J41" s="5"/>
    </row>
    <row r="42" spans="1:10">
      <c r="A42" s="5"/>
      <c r="B42" s="5"/>
      <c r="C42" s="5"/>
      <c r="D42" s="5"/>
      <c r="E42" s="5"/>
      <c r="F42" s="5"/>
      <c r="G42" s="5"/>
      <c r="H42" s="5"/>
      <c r="I42" s="5"/>
      <c r="J42" s="5"/>
    </row>
    <row r="43" spans="1:10">
      <c r="A43" s="5"/>
      <c r="B43" s="5"/>
      <c r="C43" s="5"/>
      <c r="D43" s="5"/>
      <c r="E43" s="5"/>
      <c r="F43" s="5"/>
      <c r="G43" s="5"/>
      <c r="H43" s="5"/>
      <c r="I43" s="5"/>
      <c r="J43" s="5"/>
    </row>
    <row r="44" spans="1:10">
      <c r="A44" s="5"/>
      <c r="B44" s="5"/>
      <c r="C44" s="5"/>
      <c r="D44" s="5"/>
      <c r="E44" s="5"/>
      <c r="F44" s="5"/>
      <c r="G44" s="5"/>
      <c r="H44" s="5"/>
      <c r="I44" s="5"/>
      <c r="J44" s="5"/>
    </row>
    <row r="45" spans="1:10">
      <c r="A45" s="8"/>
      <c r="B45" s="8"/>
      <c r="C45" s="8"/>
      <c r="D45" s="8"/>
      <c r="E45" s="5"/>
      <c r="F45" s="5"/>
      <c r="G45" s="5"/>
      <c r="H45" s="5"/>
      <c r="I45" s="5"/>
      <c r="J45" s="5"/>
    </row>
    <row r="46" spans="1:10">
      <c r="A46" s="5" t="s">
        <v>66</v>
      </c>
      <c r="B46" s="5"/>
      <c r="C46" s="5"/>
      <c r="D46" s="5"/>
      <c r="E46" s="5"/>
      <c r="F46" s="5"/>
      <c r="G46" s="5"/>
      <c r="H46" s="5"/>
      <c r="I46" s="5"/>
      <c r="J46" s="5"/>
    </row>
    <row r="47" spans="1:10">
      <c r="A47" s="5" t="s">
        <v>67</v>
      </c>
      <c r="B47" s="5"/>
      <c r="C47" s="5"/>
      <c r="D47" s="5"/>
      <c r="E47" s="5"/>
      <c r="F47" s="5"/>
      <c r="G47" s="5"/>
      <c r="H47" s="5"/>
      <c r="I47" s="5"/>
      <c r="J47" s="5"/>
    </row>
    <row r="48" spans="1:10">
      <c r="A48" s="57" t="s">
        <v>96</v>
      </c>
      <c r="B48" s="5"/>
      <c r="C48" s="5"/>
      <c r="D48" s="5"/>
      <c r="E48" s="5"/>
      <c r="F48" s="5"/>
      <c r="G48" s="5"/>
      <c r="H48" s="5"/>
      <c r="I48" s="5"/>
      <c r="J48" s="5"/>
    </row>
    <row r="49" spans="1:10">
      <c r="A49" s="57" t="s">
        <v>97</v>
      </c>
      <c r="B49" s="5"/>
      <c r="C49" s="5"/>
      <c r="D49" s="5"/>
      <c r="E49" s="5"/>
      <c r="F49" s="5"/>
      <c r="G49" s="5"/>
      <c r="H49" s="5"/>
      <c r="I49" s="5"/>
      <c r="J49" s="5"/>
    </row>
    <row r="50" spans="1:10">
      <c r="A50" s="5"/>
      <c r="B50" s="5"/>
      <c r="C50" s="5"/>
      <c r="D50" s="5"/>
      <c r="E50" s="5"/>
      <c r="F50" s="5"/>
      <c r="G50" s="5"/>
      <c r="H50" s="5"/>
      <c r="I50" s="5"/>
      <c r="J50" s="5"/>
    </row>
    <row r="51" spans="1:10">
      <c r="A51" s="5"/>
      <c r="B51" s="5"/>
      <c r="C51" s="5"/>
      <c r="D51" s="5"/>
      <c r="E51" s="5"/>
      <c r="F51" s="5"/>
      <c r="G51" s="5"/>
      <c r="H51" s="5"/>
      <c r="I51" s="5"/>
      <c r="J51" s="5"/>
    </row>
    <row r="52" spans="1:10">
      <c r="A52" s="8"/>
      <c r="B52" s="8"/>
      <c r="C52" s="8"/>
      <c r="D52" s="8"/>
      <c r="E52" s="5"/>
      <c r="F52" s="5"/>
      <c r="G52" s="5"/>
      <c r="H52" s="5"/>
      <c r="I52" s="5"/>
      <c r="J52" s="5"/>
    </row>
    <row r="53" spans="1:10">
      <c r="A53" s="5" t="s">
        <v>69</v>
      </c>
      <c r="B53" s="5"/>
      <c r="C53" s="5"/>
      <c r="D53" s="5"/>
      <c r="E53" s="5"/>
      <c r="F53" s="5"/>
      <c r="G53" s="5"/>
      <c r="H53" s="5"/>
      <c r="I53" s="5"/>
      <c r="J53" s="5"/>
    </row>
    <row r="54" spans="1:10">
      <c r="A54" s="5" t="s">
        <v>70</v>
      </c>
      <c r="B54" s="5"/>
      <c r="C54" s="5"/>
      <c r="D54" s="5"/>
      <c r="E54" s="5"/>
      <c r="F54" s="5"/>
      <c r="G54" s="5"/>
      <c r="H54" s="5"/>
      <c r="I54" s="5"/>
      <c r="J54" s="5"/>
    </row>
    <row r="55" spans="1:10">
      <c r="A55" s="57" t="s">
        <v>98</v>
      </c>
      <c r="B55" s="5"/>
      <c r="C55" s="5"/>
      <c r="D55" s="5"/>
      <c r="E55" s="5"/>
      <c r="F55" s="5"/>
      <c r="G55" s="5"/>
      <c r="H55" s="5"/>
      <c r="I55" s="5"/>
      <c r="J55" s="5"/>
    </row>
    <row r="56" spans="1:10">
      <c r="A56" s="57" t="s">
        <v>99</v>
      </c>
      <c r="B56" s="9"/>
      <c r="C56" s="9"/>
      <c r="D56" s="9"/>
      <c r="E56" s="5"/>
      <c r="F56" s="5"/>
      <c r="G56" s="5"/>
      <c r="H56" s="5"/>
      <c r="I56" s="5"/>
      <c r="J56" s="5"/>
    </row>
    <row r="57" spans="1:10">
      <c r="A57" s="5"/>
      <c r="B57" s="5"/>
      <c r="C57" s="5"/>
      <c r="D57" s="5"/>
      <c r="E57" s="5"/>
      <c r="F57" s="5"/>
      <c r="G57" s="5"/>
      <c r="H57" s="5"/>
      <c r="I57" s="5"/>
      <c r="J57" s="5"/>
    </row>
    <row r="58" spans="1:10">
      <c r="A58" s="5"/>
      <c r="B58" s="5"/>
      <c r="C58" s="5"/>
      <c r="D58" s="5"/>
      <c r="E58" s="5"/>
      <c r="F58" s="5"/>
      <c r="G58" s="5"/>
      <c r="H58" s="5"/>
      <c r="I58" s="5"/>
      <c r="J58" s="5"/>
    </row>
    <row r="59" spans="1:10">
      <c r="A59" s="9" t="s">
        <v>72</v>
      </c>
      <c r="B59" s="5"/>
      <c r="C59" s="5"/>
      <c r="D59" s="5"/>
      <c r="E59" s="5"/>
      <c r="F59" s="5"/>
      <c r="G59" s="5"/>
      <c r="H59" s="5"/>
      <c r="I59" s="5"/>
      <c r="J59" s="5"/>
    </row>
    <row r="60" spans="1:10">
      <c r="A60" s="9"/>
      <c r="B60" s="5"/>
      <c r="C60" s="5"/>
      <c r="D60" s="5"/>
      <c r="E60" s="5"/>
      <c r="F60" s="5"/>
      <c r="G60" s="5"/>
      <c r="H60" s="5"/>
      <c r="I60" s="5"/>
      <c r="J60" s="5"/>
    </row>
    <row r="61" spans="1:10">
      <c r="A61" s="9"/>
      <c r="B61" s="5"/>
      <c r="C61" s="5"/>
      <c r="D61" s="5"/>
      <c r="E61" s="5"/>
      <c r="F61" s="5"/>
      <c r="G61" s="5"/>
      <c r="H61" s="5"/>
      <c r="I61" s="5"/>
      <c r="J61" s="5"/>
    </row>
    <row r="62" spans="1:10">
      <c r="A62" s="194" t="s">
        <v>73</v>
      </c>
      <c r="B62" s="5"/>
      <c r="C62" s="5"/>
      <c r="D62" s="5"/>
      <c r="E62" s="5"/>
      <c r="F62" s="5"/>
      <c r="G62" s="5"/>
      <c r="H62" s="5"/>
      <c r="I62" s="5"/>
      <c r="J62" s="5"/>
    </row>
    <row r="63" spans="1:10">
      <c r="A63" s="9"/>
      <c r="B63" s="5"/>
      <c r="C63" s="5"/>
      <c r="D63" s="5"/>
      <c r="E63" s="5"/>
      <c r="F63" s="5"/>
      <c r="G63" s="5"/>
      <c r="H63" s="5"/>
      <c r="I63" s="5"/>
      <c r="J63" s="5"/>
    </row>
    <row r="64" spans="1:10">
      <c r="A64" s="9"/>
      <c r="B64" s="5"/>
      <c r="C64" s="5"/>
      <c r="D64" s="5"/>
      <c r="E64" s="5"/>
      <c r="F64" s="5"/>
      <c r="G64" s="5"/>
      <c r="H64" s="5"/>
      <c r="I64" s="5"/>
      <c r="J64" s="5"/>
    </row>
    <row r="65" spans="1:10">
      <c r="A65" s="10"/>
      <c r="B65" s="10"/>
      <c r="C65" s="10"/>
      <c r="D65" s="10"/>
      <c r="E65" s="5"/>
      <c r="F65" s="5"/>
      <c r="G65" s="5"/>
      <c r="H65" s="5"/>
      <c r="I65" s="5"/>
      <c r="J65" s="5"/>
    </row>
    <row r="66" spans="1:10">
      <c r="A66" s="11" t="s">
        <v>74</v>
      </c>
      <c r="B66" s="11"/>
      <c r="C66" s="11"/>
      <c r="D66" s="11"/>
      <c r="E66" s="5"/>
      <c r="F66" s="5"/>
      <c r="G66" s="5"/>
      <c r="H66" s="5"/>
      <c r="I66" s="5"/>
      <c r="J66" s="5"/>
    </row>
    <row r="67" spans="1:10">
      <c r="A67" s="5"/>
      <c r="B67" s="5"/>
      <c r="C67" s="5"/>
      <c r="D67" s="5"/>
      <c r="E67" s="5"/>
      <c r="F67" s="5"/>
      <c r="G67" s="5"/>
      <c r="H67" s="5"/>
      <c r="I67" s="5"/>
      <c r="J67" s="5"/>
    </row>
    <row r="68" spans="1:10">
      <c r="A68" s="195" t="s">
        <v>75</v>
      </c>
      <c r="B68" s="195"/>
      <c r="C68" s="195"/>
      <c r="D68" s="195"/>
      <c r="E68" s="58" t="s">
        <v>76</v>
      </c>
      <c r="F68" s="12"/>
      <c r="G68" s="12"/>
      <c r="H68" s="12"/>
      <c r="I68" s="5"/>
      <c r="J68" s="5"/>
    </row>
    <row r="69" spans="1:10">
      <c r="A69" s="195" t="s">
        <v>77</v>
      </c>
      <c r="B69" s="195"/>
      <c r="C69" s="195"/>
      <c r="D69" s="195"/>
      <c r="E69" s="58" t="s">
        <v>1</v>
      </c>
      <c r="F69" s="12"/>
      <c r="G69" s="12"/>
      <c r="H69" s="12"/>
      <c r="I69" s="5"/>
      <c r="J69" s="5"/>
    </row>
    <row r="70" spans="1:10">
      <c r="A70" s="195" t="s">
        <v>78</v>
      </c>
      <c r="B70" s="195"/>
      <c r="C70" s="195"/>
      <c r="D70" s="195"/>
      <c r="E70" s="58" t="s">
        <v>79</v>
      </c>
      <c r="F70" s="12"/>
      <c r="G70" s="12"/>
      <c r="H70" s="12"/>
      <c r="I70" s="5"/>
      <c r="J70" s="5"/>
    </row>
  </sheetData>
  <mergeCells count="4">
    <mergeCell ref="A68:D68"/>
    <mergeCell ref="A69:D69"/>
    <mergeCell ref="A70:D70"/>
    <mergeCell ref="C37:F37"/>
  </mergeCells>
  <pageMargins left="0.25" right="0.25" top="0.75" bottom="0.75" header="0.3" footer="0.3"/>
  <pageSetup paperSize="9" scale="53" fitToHeight="0"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70"/>
  <sheetViews>
    <sheetView topLeftCell="A59" zoomScale="85" zoomScaleNormal="85" workbookViewId="0">
      <selection activeCell="A70" sqref="A70:XFD70"/>
    </sheetView>
  </sheetViews>
  <sheetFormatPr defaultRowHeight="15"/>
  <cols>
    <col min="1" max="1" width="21" customWidth="1"/>
    <col min="2" max="2" width="4.42578125" customWidth="1"/>
    <col min="3" max="3" width="67.85546875" customWidth="1"/>
    <col min="4" max="6" width="25.85546875" customWidth="1"/>
    <col min="7" max="7" width="29.85546875" customWidth="1"/>
    <col min="8" max="11" width="25.85546875" customWidth="1"/>
  </cols>
  <sheetData>
    <row r="1" spans="1:11" ht="15.75">
      <c r="A1" s="1" t="s">
        <v>0</v>
      </c>
      <c r="C1" s="56" t="s">
        <v>1</v>
      </c>
    </row>
    <row r="2" spans="1:11" ht="15.75">
      <c r="A2" s="1"/>
    </row>
    <row r="3" spans="1:11" ht="15.75">
      <c r="A3" s="2" t="s">
        <v>100</v>
      </c>
      <c r="B3" s="2"/>
      <c r="C3" s="2"/>
      <c r="D3" s="2"/>
    </row>
    <row r="4" spans="1:11" ht="15.75">
      <c r="A4" s="2" t="s">
        <v>3</v>
      </c>
      <c r="B4" s="2"/>
      <c r="C4" s="60" t="s">
        <v>4</v>
      </c>
      <c r="D4" s="2"/>
    </row>
    <row r="5" spans="1:11" ht="15.75">
      <c r="A5" s="3"/>
      <c r="B5" s="3"/>
      <c r="C5" s="3"/>
      <c r="D5" s="3"/>
    </row>
    <row r="6" spans="1:11" ht="15.75">
      <c r="A6" s="42" t="s">
        <v>5</v>
      </c>
      <c r="B6" s="3"/>
      <c r="C6" s="55" t="s">
        <v>6</v>
      </c>
      <c r="D6" s="3"/>
    </row>
    <row r="7" spans="1:11" ht="15.75">
      <c r="A7" s="20" t="s">
        <v>7</v>
      </c>
      <c r="B7" s="3"/>
      <c r="C7" s="55" t="s">
        <v>8</v>
      </c>
      <c r="D7" s="3"/>
    </row>
    <row r="8" spans="1:11" ht="15.75">
      <c r="A8" s="20" t="s">
        <v>9</v>
      </c>
      <c r="B8" s="3"/>
      <c r="C8" s="55" t="s">
        <v>10</v>
      </c>
      <c r="D8" s="3"/>
    </row>
    <row r="9" spans="1:11" ht="15.75">
      <c r="A9" s="20" t="s">
        <v>11</v>
      </c>
      <c r="B9" s="3"/>
      <c r="C9" s="55" t="s">
        <v>12</v>
      </c>
      <c r="D9" s="3"/>
    </row>
    <row r="10" spans="1:11" ht="15.75">
      <c r="A10" s="20" t="s">
        <v>13</v>
      </c>
      <c r="B10" s="3"/>
      <c r="C10" s="55"/>
      <c r="D10" s="3"/>
    </row>
    <row r="11" spans="1:11" ht="15.75">
      <c r="A11" s="20" t="s">
        <v>14</v>
      </c>
      <c r="B11" s="3"/>
      <c r="C11" s="55" t="s">
        <v>15</v>
      </c>
      <c r="D11" s="3"/>
    </row>
    <row r="12" spans="1:11" ht="15.75">
      <c r="A12" s="20" t="s">
        <v>16</v>
      </c>
      <c r="B12" s="3"/>
      <c r="C12" s="55" t="s">
        <v>17</v>
      </c>
      <c r="D12" s="3"/>
    </row>
    <row r="13" spans="1:11" ht="15.75">
      <c r="A13" s="20" t="s">
        <v>18</v>
      </c>
      <c r="B13" s="3"/>
      <c r="C13" s="55" t="s">
        <v>19</v>
      </c>
      <c r="D13" s="3"/>
    </row>
    <row r="14" spans="1:11">
      <c r="A14" s="4"/>
      <c r="B14" s="4"/>
      <c r="C14" s="4"/>
      <c r="D14" s="4"/>
      <c r="E14" s="4"/>
      <c r="F14" s="4"/>
      <c r="G14" s="4"/>
      <c r="H14" s="4"/>
      <c r="I14" s="4"/>
      <c r="J14" s="53"/>
      <c r="K14" s="4"/>
    </row>
    <row r="15" spans="1:11" s="51" customFormat="1" ht="25.5">
      <c r="A15" s="48"/>
      <c r="B15" s="198" t="s">
        <v>20</v>
      </c>
      <c r="C15" s="198"/>
      <c r="D15" s="48" t="s">
        <v>21</v>
      </c>
      <c r="E15" s="49" t="s">
        <v>82</v>
      </c>
      <c r="F15" s="50" t="s">
        <v>101</v>
      </c>
      <c r="G15" s="50" t="s">
        <v>24</v>
      </c>
      <c r="H15" s="50" t="s">
        <v>102</v>
      </c>
      <c r="I15" s="49" t="s">
        <v>103</v>
      </c>
      <c r="J15" s="50" t="s">
        <v>104</v>
      </c>
      <c r="K15" s="50" t="s">
        <v>26</v>
      </c>
    </row>
    <row r="16" spans="1:11" ht="26.25">
      <c r="A16" s="72"/>
      <c r="B16" s="72"/>
      <c r="C16" s="72"/>
      <c r="D16" s="72"/>
      <c r="E16" s="72"/>
      <c r="F16" s="188" t="s">
        <v>27</v>
      </c>
      <c r="G16" s="188" t="s">
        <v>27</v>
      </c>
      <c r="H16" s="188" t="s">
        <v>27</v>
      </c>
      <c r="I16" s="72" t="s">
        <v>4</v>
      </c>
      <c r="J16" s="72" t="s">
        <v>4</v>
      </c>
      <c r="K16" s="72" t="s">
        <v>4</v>
      </c>
    </row>
    <row r="17" spans="1:11">
      <c r="A17" s="247"/>
      <c r="B17" s="247"/>
      <c r="C17" s="247"/>
      <c r="D17" s="247"/>
      <c r="E17" s="247"/>
      <c r="F17" s="13" t="s">
        <v>28</v>
      </c>
      <c r="G17" s="13" t="s">
        <v>29</v>
      </c>
      <c r="H17" s="14" t="s">
        <v>105</v>
      </c>
      <c r="I17" s="13" t="s">
        <v>106</v>
      </c>
      <c r="J17" s="14" t="s">
        <v>32</v>
      </c>
      <c r="K17" s="14" t="s">
        <v>107</v>
      </c>
    </row>
    <row r="18" spans="1:11" ht="60.95" customHeight="1">
      <c r="A18" s="247"/>
      <c r="B18" s="247"/>
      <c r="C18" s="247"/>
      <c r="D18" s="37" t="s">
        <v>34</v>
      </c>
      <c r="E18" s="37" t="s">
        <v>35</v>
      </c>
      <c r="F18" s="38" t="s">
        <v>36</v>
      </c>
      <c r="G18" s="38" t="s">
        <v>37</v>
      </c>
      <c r="I18" s="39" t="s">
        <v>38</v>
      </c>
      <c r="J18" s="39" t="s">
        <v>108</v>
      </c>
      <c r="K18" s="39" t="s">
        <v>90</v>
      </c>
    </row>
    <row r="19" spans="1:11" ht="25.5">
      <c r="A19" s="18"/>
      <c r="B19" s="18">
        <v>1</v>
      </c>
      <c r="C19" s="18" t="s">
        <v>40</v>
      </c>
      <c r="D19" s="69" t="s">
        <v>41</v>
      </c>
      <c r="E19" s="69" t="s">
        <v>42</v>
      </c>
      <c r="F19" s="70" t="s">
        <v>43</v>
      </c>
      <c r="G19" s="70" t="s">
        <v>43</v>
      </c>
      <c r="H19" s="249" t="e">
        <f>F19-G19</f>
        <v>#VALUE!</v>
      </c>
      <c r="I19" s="71" t="s">
        <v>44</v>
      </c>
      <c r="J19" s="266"/>
      <c r="K19" s="249" t="e">
        <f>J19-H19</f>
        <v>#VALUE!</v>
      </c>
    </row>
    <row r="20" spans="1:11" ht="25.5">
      <c r="A20" s="18"/>
      <c r="B20" s="18">
        <v>2</v>
      </c>
      <c r="C20" s="18" t="s">
        <v>45</v>
      </c>
      <c r="D20" s="69" t="s">
        <v>41</v>
      </c>
      <c r="E20" s="69" t="s">
        <v>42</v>
      </c>
      <c r="F20" s="70" t="s">
        <v>43</v>
      </c>
      <c r="G20" s="70" t="s">
        <v>43</v>
      </c>
      <c r="H20" s="249" t="e">
        <f t="shared" ref="H20:H23" si="0">F20-G20</f>
        <v>#VALUE!</v>
      </c>
      <c r="I20" s="70" t="s">
        <v>44</v>
      </c>
      <c r="J20" s="266"/>
      <c r="K20" s="249" t="e">
        <f t="shared" ref="K20:K23" si="1">J20-H20</f>
        <v>#VALUE!</v>
      </c>
    </row>
    <row r="21" spans="1:11" ht="38.25">
      <c r="A21" s="18"/>
      <c r="B21" s="18">
        <v>3</v>
      </c>
      <c r="C21" s="18" t="s">
        <v>46</v>
      </c>
      <c r="D21" s="69" t="s">
        <v>47</v>
      </c>
      <c r="E21" s="69" t="s">
        <v>48</v>
      </c>
      <c r="F21" s="70" t="s">
        <v>49</v>
      </c>
      <c r="G21" s="70" t="s">
        <v>49</v>
      </c>
      <c r="H21" s="249" t="e">
        <f t="shared" si="0"/>
        <v>#VALUE!</v>
      </c>
      <c r="I21" s="70" t="s">
        <v>50</v>
      </c>
      <c r="J21" s="266"/>
      <c r="K21" s="249" t="e">
        <f t="shared" si="1"/>
        <v>#VALUE!</v>
      </c>
    </row>
    <row r="22" spans="1:11" ht="25.5">
      <c r="A22" s="18"/>
      <c r="B22" s="18">
        <v>4</v>
      </c>
      <c r="C22" s="18" t="s">
        <v>51</v>
      </c>
      <c r="D22" s="69" t="s">
        <v>41</v>
      </c>
      <c r="E22" s="69" t="s">
        <v>42</v>
      </c>
      <c r="F22" s="70" t="s">
        <v>43</v>
      </c>
      <c r="G22" s="70" t="s">
        <v>43</v>
      </c>
      <c r="H22" s="249" t="e">
        <f t="shared" si="0"/>
        <v>#VALUE!</v>
      </c>
      <c r="I22" s="70" t="s">
        <v>44</v>
      </c>
      <c r="J22" s="266"/>
      <c r="K22" s="249" t="e">
        <f t="shared" si="1"/>
        <v>#VALUE!</v>
      </c>
    </row>
    <row r="23" spans="1:11" ht="25.5">
      <c r="A23" s="18"/>
      <c r="B23" s="18">
        <v>5</v>
      </c>
      <c r="C23" s="18" t="s">
        <v>52</v>
      </c>
      <c r="D23" s="69" t="s">
        <v>41</v>
      </c>
      <c r="E23" s="69" t="s">
        <v>42</v>
      </c>
      <c r="F23" s="70" t="s">
        <v>43</v>
      </c>
      <c r="G23" s="70" t="s">
        <v>43</v>
      </c>
      <c r="H23" s="249" t="e">
        <f t="shared" si="0"/>
        <v>#VALUE!</v>
      </c>
      <c r="I23" s="70" t="s">
        <v>44</v>
      </c>
      <c r="J23" s="266"/>
      <c r="K23" s="249" t="e">
        <f t="shared" si="1"/>
        <v>#VALUE!</v>
      </c>
    </row>
    <row r="24" spans="1:11" ht="35.450000000000003" customHeight="1">
      <c r="A24" s="18"/>
      <c r="B24" s="18">
        <v>6</v>
      </c>
      <c r="C24" s="19" t="s">
        <v>53</v>
      </c>
      <c r="D24" s="45">
        <f t="shared" ref="D24:K24" si="2">SUM(D19:D23)</f>
        <v>0</v>
      </c>
      <c r="E24" s="45">
        <f t="shared" si="2"/>
        <v>0</v>
      </c>
      <c r="F24" s="45">
        <f t="shared" si="2"/>
        <v>0</v>
      </c>
      <c r="G24" s="45">
        <f t="shared" si="2"/>
        <v>0</v>
      </c>
      <c r="H24" s="45" t="e">
        <f t="shared" si="2"/>
        <v>#VALUE!</v>
      </c>
      <c r="I24" s="45">
        <f t="shared" si="2"/>
        <v>0</v>
      </c>
      <c r="J24" s="45">
        <f t="shared" si="2"/>
        <v>0</v>
      </c>
      <c r="K24" s="45" t="e">
        <f t="shared" si="2"/>
        <v>#VALUE!</v>
      </c>
    </row>
    <row r="25" spans="1:11">
      <c r="A25" s="18"/>
      <c r="C25" s="18"/>
      <c r="D25" s="18"/>
      <c r="E25" s="18"/>
      <c r="F25" s="250"/>
      <c r="G25" s="250"/>
      <c r="H25" s="251"/>
      <c r="I25" s="251"/>
      <c r="J25" s="251"/>
      <c r="K25" s="251"/>
    </row>
    <row r="26" spans="1:11">
      <c r="A26" s="18"/>
      <c r="B26" s="18">
        <v>7</v>
      </c>
      <c r="C26" s="18" t="s">
        <v>54</v>
      </c>
      <c r="D26" s="184" t="e">
        <f t="shared" ref="D26:K26" si="3">D24-D23</f>
        <v>#VALUE!</v>
      </c>
      <c r="E26" s="184" t="e">
        <f t="shared" si="3"/>
        <v>#VALUE!</v>
      </c>
      <c r="F26" s="184" t="e">
        <f t="shared" si="3"/>
        <v>#VALUE!</v>
      </c>
      <c r="G26" s="184" t="e">
        <f t="shared" si="3"/>
        <v>#VALUE!</v>
      </c>
      <c r="H26" s="184" t="e">
        <f t="shared" si="3"/>
        <v>#VALUE!</v>
      </c>
      <c r="I26" s="184" t="e">
        <f t="shared" si="3"/>
        <v>#VALUE!</v>
      </c>
      <c r="J26" s="184">
        <f t="shared" si="3"/>
        <v>0</v>
      </c>
      <c r="K26" s="184" t="e">
        <f t="shared" si="3"/>
        <v>#VALUE!</v>
      </c>
    </row>
    <row r="27" spans="1:11">
      <c r="A27" s="18"/>
      <c r="B27" s="18">
        <v>8</v>
      </c>
      <c r="C27" s="18" t="s">
        <v>109</v>
      </c>
      <c r="D27" s="18" t="e" cm="1">
        <f t="array" aca="1" ref="D27" ca="1">SUMPRODUCT(MID(0&amp;LEFT(C27,LEN(C27)-FIND("%",C27)), LARGE(INDEX(ISNUMBER(--MID(LEFT(C27,LEN(C27)-FIND("%",C27)), ROW(INDIRECT("1:"&amp;LEN(LEFT(C27,LEN(C27)-FIND("%",C27))))), 1)) * ROW(INDIRECT("1:"&amp;LEN(LEFT(C27,LEN(C27)-FIND("%",C27))))), 0), ROW(INDIRECT("1:"&amp;LEN(LEFT(C27,LEN(C27)-FIND("%",C27))))))+1, 1) * 10^ROW(INDIRECT("1:"&amp;LEN(LEFT(C27,LEN(C27)-FIND("%",C27)))))/10)%*D26</f>
        <v>#VALUE!</v>
      </c>
      <c r="E27" s="18" t="e" cm="1">
        <f t="array" aca="1" ref="E27" ca="1">SUMPRODUCT(MID(0&amp;LEFT(C27,LEN(C27)-FIND("%",C27)), LARGE(INDEX(ISNUMBER(--MID(LEFT(C27,LEN(C27)-FIND("%",C27)), ROW(INDIRECT("1:"&amp;LEN(LEFT(C27,LEN(C27)-FIND("%",C27))))), 1)) * ROW(INDIRECT("1:"&amp;LEN(LEFT(C27,LEN(C27)-FIND("%",C27))))), 0), ROW(INDIRECT("1:"&amp;LEN(LEFT(C27,LEN(C27)-FIND("%",C27))))))+1, 1) * 10^ROW(INDIRECT("1:"&amp;LEN(LEFT(C27,LEN(C27)-FIND("%",C27)))))/10)%*E26</f>
        <v>#VALUE!</v>
      </c>
      <c r="F27" s="186" t="s">
        <v>58</v>
      </c>
      <c r="G27" s="186" t="str">
        <f>F27</f>
        <v>${claimVO.summaryCalculations.overHeads.overHeadInPrevClaim}</v>
      </c>
      <c r="H27" s="185" t="e">
        <f t="shared" ref="H27" si="4">F27-G27</f>
        <v>#VALUE!</v>
      </c>
      <c r="I27" s="18" t="e" cm="1">
        <f t="array" aca="1" ref="I27" ca="1">SUMPRODUCT(MID(0&amp;LEFT(C27,LEN(C27)-FIND("%",C27)), LARGE(INDEX(ISNUMBER(--MID(LEFT(C27,LEN(C27)-FIND("%",C27)), ROW(INDIRECT("1:"&amp;LEN(LEFT(C27,LEN(C27)-FIND("%",C27))))), 1)) * ROW(INDIRECT("1:"&amp;LEN(LEFT(C27,LEN(C27)-FIND("%",C27))))), 0), ROW(INDIRECT("1:"&amp;LEN(LEFT(C27,LEN(C27)-FIND("%",C27))))))+1, 1) * 10^ROW(INDIRECT("1:"&amp;LEN(LEFT(C27,LEN(C27)-FIND("%",C27)))))/10)%*I26</f>
        <v>#VALUE!</v>
      </c>
      <c r="J27" s="185" cm="1">
        <f t="array" aca="1" ref="J27" ca="1">SUMPRODUCT(MID(0&amp;LEFT(C27,LEN(C27)-FIND("%",C27)), LARGE(INDEX(ISNUMBER(--MID(LEFT(C27,LEN(C27)-FIND("%",C27)), ROW(INDIRECT("1:"&amp;LEN(LEFT(C27,LEN(C27)-FIND("%",C27))))), 1)) * ROW(INDIRECT("1:"&amp;LEN(LEFT(C27,LEN(C27)-FIND("%",C27))))), 0), ROW(INDIRECT("1:"&amp;LEN(LEFT(C27,LEN(C27)-FIND("%",C27))))))+1, 1) * 10^ROW(INDIRECT("1:"&amp;LEN(LEFT(C27,LEN(C27)-FIND("%",C27)))))/10)%*J26</f>
        <v>0</v>
      </c>
      <c r="K27" s="249" t="e">
        <f t="shared" ref="K27" ca="1" si="5">J27-H27</f>
        <v>#VALUE!</v>
      </c>
    </row>
    <row r="28" spans="1:11">
      <c r="A28" s="18"/>
      <c r="B28" s="18"/>
      <c r="C28" s="18"/>
      <c r="D28" s="18"/>
      <c r="E28" s="18"/>
      <c r="F28" s="250"/>
      <c r="G28" s="250"/>
      <c r="H28" s="251"/>
      <c r="I28" s="251"/>
      <c r="J28" s="251"/>
      <c r="K28" s="251"/>
    </row>
    <row r="29" spans="1:11" ht="27" thickBot="1">
      <c r="A29" s="18"/>
      <c r="B29" s="252"/>
      <c r="C29" s="40" t="s">
        <v>92</v>
      </c>
      <c r="D29" s="187" t="e">
        <f t="shared" ref="D29:K29" ca="1" si="6">D24+D27</f>
        <v>#VALUE!</v>
      </c>
      <c r="E29" s="187" t="e">
        <f t="shared" ca="1" si="6"/>
        <v>#VALUE!</v>
      </c>
      <c r="F29" s="187" t="e">
        <f t="shared" si="6"/>
        <v>#VALUE!</v>
      </c>
      <c r="G29" s="187" t="e">
        <f t="shared" si="6"/>
        <v>#VALUE!</v>
      </c>
      <c r="H29" s="187" t="e">
        <f t="shared" si="6"/>
        <v>#VALUE!</v>
      </c>
      <c r="I29" s="187" t="e">
        <f t="shared" ca="1" si="6"/>
        <v>#VALUE!</v>
      </c>
      <c r="J29" s="187">
        <f t="shared" ca="1" si="6"/>
        <v>0</v>
      </c>
      <c r="K29" s="187" t="e">
        <f t="shared" ca="1" si="6"/>
        <v>#VALUE!</v>
      </c>
    </row>
    <row r="30" spans="1:11" ht="15.75" thickTop="1">
      <c r="A30" s="18"/>
      <c r="B30" s="18"/>
      <c r="C30" s="18"/>
      <c r="D30" s="18"/>
      <c r="E30" s="18"/>
      <c r="F30" s="250"/>
      <c r="G30" s="250"/>
      <c r="H30" s="251"/>
      <c r="I30" s="251"/>
      <c r="J30" s="251"/>
      <c r="K30" s="251"/>
    </row>
    <row r="31" spans="1:11">
      <c r="A31" s="252"/>
      <c r="B31" s="252"/>
      <c r="C31" s="252"/>
      <c r="D31" s="252"/>
      <c r="E31" s="252"/>
      <c r="F31" s="250"/>
      <c r="G31" s="250"/>
      <c r="H31" s="251"/>
      <c r="I31" s="251"/>
      <c r="J31" s="261"/>
      <c r="K31" s="251"/>
    </row>
    <row r="32" spans="1:11">
      <c r="A32" s="247"/>
      <c r="B32" s="247"/>
      <c r="C32" s="247"/>
      <c r="D32" s="247"/>
      <c r="E32" s="247"/>
      <c r="F32" s="247"/>
      <c r="G32" s="247"/>
      <c r="H32" s="262"/>
      <c r="I32" s="262"/>
      <c r="J32" s="262"/>
      <c r="K32" s="267" t="e">
        <f ca="1">K29</f>
        <v>#VALUE!</v>
      </c>
    </row>
    <row r="33" spans="1:11">
      <c r="A33" s="247"/>
      <c r="B33" s="247"/>
      <c r="C33" s="247"/>
      <c r="D33" s="247"/>
      <c r="E33" s="247"/>
      <c r="F33" s="247"/>
      <c r="G33" s="247"/>
      <c r="H33" s="35"/>
      <c r="I33" s="35"/>
      <c r="J33" s="16" t="s">
        <v>93</v>
      </c>
      <c r="K33" s="268"/>
    </row>
    <row r="34" spans="1:11" ht="15.75" thickBot="1">
      <c r="A34" s="247"/>
      <c r="B34" s="247"/>
      <c r="C34" s="247"/>
      <c r="D34" s="247"/>
      <c r="E34" s="247"/>
      <c r="F34" s="247"/>
      <c r="G34" s="247"/>
      <c r="H34" s="247"/>
      <c r="I34" s="247"/>
      <c r="J34" s="16" t="s">
        <v>60</v>
      </c>
      <c r="K34" s="265" t="e">
        <f ca="1">K32-K33</f>
        <v>#VALUE!</v>
      </c>
    </row>
    <row r="35" spans="1:11" ht="15.75" thickTop="1">
      <c r="A35" s="5"/>
      <c r="B35" s="5"/>
      <c r="C35" s="5"/>
      <c r="D35" s="5"/>
      <c r="E35" s="5"/>
      <c r="F35" s="5"/>
      <c r="G35" s="5"/>
      <c r="H35" s="5"/>
      <c r="I35" s="5"/>
      <c r="J35" s="5"/>
      <c r="K35" s="6"/>
    </row>
    <row r="36" spans="1:11">
      <c r="A36" s="5"/>
      <c r="B36" s="5"/>
      <c r="C36" s="5"/>
      <c r="D36" s="5"/>
      <c r="E36" s="5"/>
      <c r="F36" s="5"/>
      <c r="G36" s="5"/>
      <c r="H36" s="5"/>
      <c r="I36" s="5"/>
      <c r="J36" s="17" t="s">
        <v>94</v>
      </c>
      <c r="K36" s="6"/>
    </row>
    <row r="37" spans="1:11">
      <c r="A37" s="5"/>
      <c r="B37" s="41" t="s">
        <v>61</v>
      </c>
      <c r="C37" s="196" t="s">
        <v>110</v>
      </c>
      <c r="D37" s="196"/>
      <c r="E37" s="196"/>
      <c r="F37" s="196"/>
      <c r="G37" s="196"/>
      <c r="H37" s="5"/>
      <c r="I37" s="5"/>
      <c r="J37" s="5"/>
      <c r="K37" s="5"/>
    </row>
    <row r="38" spans="1:11">
      <c r="A38" s="5"/>
      <c r="B38" s="5"/>
      <c r="C38" s="5"/>
      <c r="D38" s="5"/>
      <c r="E38" s="5"/>
      <c r="F38" s="5"/>
      <c r="G38" s="5"/>
      <c r="H38" s="5"/>
      <c r="I38" s="5"/>
      <c r="J38" s="5"/>
      <c r="K38" s="5"/>
    </row>
    <row r="39" spans="1:11">
      <c r="A39" s="7" t="s">
        <v>63</v>
      </c>
      <c r="B39" s="7"/>
      <c r="C39" s="7"/>
      <c r="D39" s="7"/>
      <c r="E39" s="7"/>
      <c r="F39" s="5"/>
      <c r="G39" s="5"/>
      <c r="H39" s="5"/>
      <c r="I39" s="5"/>
      <c r="K39" s="5"/>
    </row>
    <row r="40" spans="1:11">
      <c r="A40" s="5" t="s">
        <v>64</v>
      </c>
      <c r="B40" s="5"/>
      <c r="C40" s="5"/>
      <c r="D40" s="5"/>
      <c r="E40" s="5"/>
      <c r="F40" s="5"/>
      <c r="G40" s="5"/>
      <c r="H40" s="5"/>
      <c r="I40" s="5"/>
      <c r="J40" s="5"/>
      <c r="K40" s="5"/>
    </row>
    <row r="41" spans="1:11">
      <c r="A41" s="5" t="s">
        <v>65</v>
      </c>
      <c r="B41" s="5"/>
      <c r="C41" s="5"/>
      <c r="D41" s="5"/>
      <c r="E41" s="5"/>
      <c r="F41" s="5"/>
      <c r="G41" s="5"/>
      <c r="H41" s="5"/>
      <c r="I41" s="5"/>
      <c r="J41" s="5"/>
      <c r="K41" s="5"/>
    </row>
    <row r="42" spans="1:11">
      <c r="A42" s="5"/>
      <c r="B42" s="5"/>
      <c r="C42" s="5"/>
      <c r="D42" s="5"/>
      <c r="E42" s="5"/>
      <c r="F42" s="5"/>
      <c r="G42" s="5"/>
      <c r="H42" s="5"/>
      <c r="I42" s="5"/>
      <c r="J42" s="5"/>
      <c r="K42" s="5"/>
    </row>
    <row r="43" spans="1:11">
      <c r="A43" s="5"/>
      <c r="B43" s="5"/>
      <c r="C43" s="5"/>
      <c r="D43" s="5"/>
      <c r="E43" s="5"/>
      <c r="F43" s="5"/>
      <c r="G43" s="5"/>
      <c r="H43" s="5"/>
      <c r="I43" s="5"/>
      <c r="J43" s="5"/>
      <c r="K43" s="5"/>
    </row>
    <row r="44" spans="1:11">
      <c r="A44" s="5"/>
      <c r="B44" s="5"/>
      <c r="C44" s="5"/>
      <c r="D44" s="5"/>
      <c r="E44" s="5"/>
      <c r="F44" s="5"/>
      <c r="G44" s="5"/>
      <c r="H44" s="5"/>
      <c r="I44" s="5"/>
      <c r="J44" s="5"/>
      <c r="K44" s="5"/>
    </row>
    <row r="45" spans="1:11">
      <c r="A45" s="8"/>
      <c r="B45" s="8"/>
      <c r="C45" s="8"/>
      <c r="D45" s="8"/>
      <c r="E45" s="8"/>
      <c r="F45" s="5"/>
      <c r="G45" s="5"/>
      <c r="H45" s="5"/>
      <c r="I45" s="5"/>
      <c r="J45" s="5"/>
      <c r="K45" s="5"/>
    </row>
    <row r="46" spans="1:11">
      <c r="A46" s="5" t="s">
        <v>66</v>
      </c>
      <c r="B46" s="5"/>
      <c r="C46" s="5"/>
      <c r="D46" s="5"/>
      <c r="E46" s="5"/>
      <c r="F46" s="5"/>
      <c r="G46" s="5"/>
      <c r="H46" s="5"/>
      <c r="I46" s="5"/>
      <c r="J46" s="5"/>
      <c r="K46" s="5"/>
    </row>
    <row r="47" spans="1:11">
      <c r="A47" s="5" t="s">
        <v>67</v>
      </c>
      <c r="B47" s="5"/>
      <c r="C47" s="5"/>
      <c r="D47" s="5"/>
      <c r="E47" s="5"/>
      <c r="F47" s="5"/>
      <c r="G47" s="5"/>
      <c r="H47" s="5"/>
      <c r="I47" s="5"/>
      <c r="J47" s="5"/>
      <c r="K47" s="5"/>
    </row>
    <row r="48" spans="1:11">
      <c r="A48" s="57" t="s">
        <v>96</v>
      </c>
      <c r="B48" s="5"/>
      <c r="C48" s="5"/>
      <c r="D48" s="5"/>
      <c r="E48" s="5"/>
      <c r="F48" s="5"/>
      <c r="G48" s="5"/>
      <c r="H48" s="5"/>
      <c r="I48" s="5"/>
      <c r="J48" s="5"/>
      <c r="K48" s="5"/>
    </row>
    <row r="49" spans="1:11">
      <c r="A49" s="57" t="s">
        <v>97</v>
      </c>
      <c r="B49" s="5"/>
      <c r="C49" s="5"/>
      <c r="D49" s="5"/>
      <c r="E49" s="5"/>
      <c r="F49" s="5"/>
      <c r="G49" s="5"/>
      <c r="H49" s="5"/>
      <c r="I49" s="5"/>
      <c r="J49" s="5"/>
      <c r="K49" s="5"/>
    </row>
    <row r="50" spans="1:11">
      <c r="A50" s="5"/>
      <c r="B50" s="5"/>
      <c r="C50" s="5"/>
      <c r="D50" s="5"/>
      <c r="E50" s="5"/>
      <c r="F50" s="5"/>
      <c r="G50" s="5"/>
      <c r="H50" s="5"/>
      <c r="I50" s="5"/>
      <c r="J50" s="5"/>
      <c r="K50" s="5"/>
    </row>
    <row r="51" spans="1:11">
      <c r="A51" s="5"/>
      <c r="B51" s="5"/>
      <c r="C51" s="5"/>
      <c r="D51" s="5"/>
      <c r="E51" s="5"/>
      <c r="F51" s="5"/>
      <c r="G51" s="5"/>
      <c r="H51" s="5"/>
      <c r="I51" s="5"/>
      <c r="J51" s="5"/>
      <c r="K51" s="5"/>
    </row>
    <row r="52" spans="1:11">
      <c r="A52" s="8"/>
      <c r="B52" s="8"/>
      <c r="C52" s="8"/>
      <c r="D52" s="8"/>
      <c r="E52" s="8"/>
      <c r="F52" s="5"/>
      <c r="G52" s="5"/>
      <c r="H52" s="5"/>
      <c r="I52" s="5"/>
      <c r="J52" s="5"/>
      <c r="K52" s="5"/>
    </row>
    <row r="53" spans="1:11">
      <c r="A53" s="5" t="s">
        <v>69</v>
      </c>
      <c r="B53" s="5"/>
      <c r="C53" s="5"/>
      <c r="D53" s="5"/>
      <c r="E53" s="5"/>
      <c r="F53" s="5"/>
      <c r="G53" s="5"/>
      <c r="H53" s="5"/>
      <c r="I53" s="5"/>
      <c r="J53" s="5"/>
      <c r="K53" s="5"/>
    </row>
    <row r="54" spans="1:11">
      <c r="A54" s="5" t="s">
        <v>70</v>
      </c>
      <c r="B54" s="5"/>
      <c r="C54" s="5"/>
      <c r="D54" s="5"/>
      <c r="E54" s="5"/>
      <c r="F54" s="5"/>
      <c r="G54" s="5"/>
      <c r="H54" s="5"/>
      <c r="I54" s="5"/>
      <c r="J54" s="5"/>
      <c r="K54" s="5"/>
    </row>
    <row r="55" spans="1:11">
      <c r="A55" s="57" t="s">
        <v>98</v>
      </c>
      <c r="B55" s="5"/>
      <c r="C55" s="5"/>
      <c r="D55" s="5"/>
      <c r="E55" s="5"/>
      <c r="F55" s="5"/>
      <c r="G55" s="5"/>
      <c r="H55" s="5"/>
      <c r="I55" s="5"/>
      <c r="J55" s="5"/>
      <c r="K55" s="5"/>
    </row>
    <row r="56" spans="1:11">
      <c r="A56" s="57" t="s">
        <v>99</v>
      </c>
      <c r="B56" s="9"/>
      <c r="C56" s="9"/>
      <c r="D56" s="9"/>
      <c r="E56" s="9"/>
      <c r="F56" s="5"/>
      <c r="G56" s="5"/>
      <c r="H56" s="5"/>
      <c r="I56" s="5"/>
      <c r="J56" s="5"/>
      <c r="K56" s="5"/>
    </row>
    <row r="57" spans="1:11">
      <c r="A57" s="57"/>
      <c r="B57" s="9"/>
      <c r="C57" s="9"/>
      <c r="D57" s="9"/>
      <c r="E57" s="9"/>
      <c r="F57" s="5"/>
      <c r="G57" s="5"/>
      <c r="H57" s="5"/>
      <c r="I57" s="5"/>
      <c r="J57" s="5"/>
      <c r="K57" s="5"/>
    </row>
    <row r="58" spans="1:11">
      <c r="A58" s="5"/>
      <c r="B58" s="5"/>
      <c r="C58" s="5"/>
      <c r="D58" s="5"/>
      <c r="E58" s="5"/>
      <c r="F58" s="5"/>
      <c r="G58" s="5"/>
      <c r="H58" s="5"/>
      <c r="I58" s="5"/>
      <c r="J58" s="5"/>
      <c r="K58" s="5"/>
    </row>
    <row r="59" spans="1:11">
      <c r="A59" s="9" t="s">
        <v>72</v>
      </c>
      <c r="B59" s="5"/>
      <c r="C59" s="5"/>
      <c r="D59" s="5"/>
      <c r="E59" s="5"/>
      <c r="F59" s="5"/>
      <c r="G59" s="5"/>
      <c r="H59" s="5"/>
      <c r="I59" s="5"/>
      <c r="J59" s="5"/>
      <c r="K59" s="5"/>
    </row>
    <row r="60" spans="1:11">
      <c r="A60" s="9"/>
      <c r="B60" s="5"/>
      <c r="C60" s="5"/>
      <c r="D60" s="5"/>
      <c r="E60" s="5"/>
      <c r="F60" s="5"/>
      <c r="G60" s="5"/>
      <c r="H60" s="5"/>
      <c r="I60" s="5"/>
      <c r="J60" s="5"/>
      <c r="K60" s="5"/>
    </row>
    <row r="61" spans="1:11">
      <c r="A61" s="9"/>
      <c r="B61" s="5"/>
      <c r="C61" s="5"/>
      <c r="D61" s="5"/>
      <c r="E61" s="5"/>
      <c r="F61" s="5"/>
      <c r="G61" s="5"/>
      <c r="H61" s="5"/>
      <c r="I61" s="5"/>
      <c r="J61" s="5"/>
      <c r="K61" s="5"/>
    </row>
    <row r="62" spans="1:11">
      <c r="A62" s="194" t="s">
        <v>73</v>
      </c>
      <c r="B62" s="5"/>
      <c r="C62" s="5"/>
      <c r="D62" s="5"/>
      <c r="E62" s="5"/>
      <c r="F62" s="5"/>
      <c r="G62" s="5"/>
      <c r="H62" s="5"/>
      <c r="I62" s="5"/>
      <c r="J62" s="5"/>
      <c r="K62" s="5"/>
    </row>
    <row r="63" spans="1:11">
      <c r="A63" s="9"/>
      <c r="B63" s="5"/>
      <c r="C63" s="5"/>
      <c r="D63" s="5"/>
      <c r="E63" s="5"/>
      <c r="F63" s="5"/>
      <c r="G63" s="5"/>
      <c r="H63" s="5"/>
      <c r="I63" s="5"/>
      <c r="J63" s="5"/>
      <c r="K63" s="5"/>
    </row>
    <row r="64" spans="1:11">
      <c r="A64" s="9"/>
      <c r="B64" s="5"/>
      <c r="C64" s="5"/>
      <c r="D64" s="5"/>
      <c r="E64" s="5"/>
      <c r="F64" s="5"/>
      <c r="G64" s="5"/>
      <c r="H64" s="5"/>
      <c r="I64" s="5"/>
      <c r="J64" s="5"/>
      <c r="K64" s="5"/>
    </row>
    <row r="65" spans="1:11">
      <c r="A65" s="10"/>
      <c r="B65" s="10"/>
      <c r="C65" s="10"/>
      <c r="D65" s="10"/>
      <c r="E65" s="10"/>
      <c r="F65" s="5"/>
      <c r="G65" s="5"/>
      <c r="H65" s="5"/>
      <c r="I65" s="5"/>
      <c r="J65" s="5"/>
      <c r="K65" s="5"/>
    </row>
    <row r="66" spans="1:11">
      <c r="A66" s="11" t="s">
        <v>74</v>
      </c>
      <c r="B66" s="11"/>
      <c r="C66" s="11"/>
      <c r="D66" s="11"/>
      <c r="E66" s="11"/>
      <c r="F66" s="5"/>
      <c r="G66" s="5"/>
      <c r="H66" s="5"/>
      <c r="I66" s="5"/>
      <c r="J66" s="5"/>
      <c r="K66" s="5"/>
    </row>
    <row r="67" spans="1:11">
      <c r="A67" s="5"/>
      <c r="B67" s="5"/>
      <c r="C67" s="5"/>
      <c r="D67" s="5"/>
      <c r="E67" s="5"/>
      <c r="F67" s="5"/>
      <c r="G67" s="5"/>
      <c r="H67" s="5"/>
      <c r="I67" s="5"/>
      <c r="J67" s="5"/>
      <c r="K67" s="5"/>
    </row>
    <row r="68" spans="1:11">
      <c r="A68" s="195" t="s">
        <v>75</v>
      </c>
      <c r="B68" s="195"/>
      <c r="C68" s="195"/>
      <c r="D68" s="195"/>
      <c r="E68" s="195"/>
      <c r="F68" s="58" t="s">
        <v>76</v>
      </c>
      <c r="G68" s="12"/>
      <c r="H68" s="5"/>
      <c r="I68" s="5"/>
      <c r="J68" s="5"/>
      <c r="K68" s="5"/>
    </row>
    <row r="69" spans="1:11">
      <c r="A69" s="195" t="s">
        <v>77</v>
      </c>
      <c r="B69" s="195"/>
      <c r="C69" s="195"/>
      <c r="D69" s="195"/>
      <c r="E69" s="195"/>
      <c r="F69" s="58" t="s">
        <v>1</v>
      </c>
      <c r="G69" s="12"/>
      <c r="H69" s="5"/>
      <c r="I69" s="5"/>
      <c r="J69" s="5"/>
      <c r="K69" s="5"/>
    </row>
    <row r="70" spans="1:11">
      <c r="A70" s="195" t="s">
        <v>78</v>
      </c>
      <c r="B70" s="195"/>
      <c r="C70" s="195"/>
      <c r="D70" s="195"/>
      <c r="E70" s="195"/>
      <c r="F70" s="58" t="s">
        <v>79</v>
      </c>
      <c r="G70" s="12"/>
      <c r="H70" s="5"/>
      <c r="I70" s="5"/>
      <c r="J70" s="5"/>
      <c r="K70" s="5"/>
    </row>
  </sheetData>
  <mergeCells count="5">
    <mergeCell ref="A68:E68"/>
    <mergeCell ref="A69:E69"/>
    <mergeCell ref="A70:E70"/>
    <mergeCell ref="B15:C15"/>
    <mergeCell ref="C37:G37"/>
  </mergeCells>
  <pageMargins left="0.25" right="0.25" top="0.75" bottom="0.75" header="0.3" footer="0.3"/>
  <pageSetup paperSize="9" scale="40"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28"/>
  <sheetViews>
    <sheetView zoomScale="90" zoomScaleNormal="90" workbookViewId="0">
      <selection activeCell="D11" sqref="D11"/>
    </sheetView>
  </sheetViews>
  <sheetFormatPr defaultColWidth="8.85546875" defaultRowHeight="12.75"/>
  <cols>
    <col min="1" max="1" width="8.85546875" style="23"/>
    <col min="2" max="2" width="43.42578125" style="23" customWidth="1"/>
    <col min="3" max="3" width="48.42578125" style="23" customWidth="1"/>
    <col min="4" max="4" width="31.85546875" style="23" customWidth="1"/>
    <col min="5" max="5" width="21.42578125" style="23" customWidth="1"/>
    <col min="6" max="6" width="18.5703125" style="23" customWidth="1"/>
    <col min="7" max="16384" width="8.85546875" style="23"/>
  </cols>
  <sheetData>
    <row r="1" spans="1:12" ht="15.75">
      <c r="A1" s="21" t="s">
        <v>111</v>
      </c>
      <c r="B1" s="22"/>
      <c r="C1" s="22"/>
      <c r="D1" s="22"/>
      <c r="E1" s="22"/>
      <c r="F1" s="53"/>
      <c r="G1" s="22"/>
      <c r="H1" s="22"/>
      <c r="I1" s="22"/>
      <c r="J1" s="22"/>
      <c r="K1" s="22"/>
      <c r="L1" s="22"/>
    </row>
    <row r="3" spans="1:12" ht="15.75">
      <c r="A3" s="24" t="s">
        <v>3</v>
      </c>
      <c r="B3" s="43"/>
      <c r="C3" s="60" t="s">
        <v>4</v>
      </c>
      <c r="D3" s="44"/>
      <c r="E3" s="21" t="s">
        <v>112</v>
      </c>
      <c r="F3" s="25"/>
      <c r="G3" s="22"/>
      <c r="H3" s="22"/>
      <c r="I3" s="22"/>
      <c r="J3" s="22"/>
      <c r="K3" s="22"/>
      <c r="L3" s="22"/>
    </row>
    <row r="4" spans="1:12" ht="15.75">
      <c r="A4" s="21"/>
      <c r="B4" s="43"/>
      <c r="C4" s="43"/>
      <c r="D4" s="43"/>
      <c r="E4" s="43"/>
      <c r="F4" s="25"/>
      <c r="G4" s="22"/>
      <c r="H4" s="22"/>
      <c r="I4" s="22"/>
      <c r="J4" s="22"/>
      <c r="K4" s="22"/>
      <c r="L4" s="22"/>
    </row>
    <row r="5" spans="1:12" ht="15.75">
      <c r="A5" s="183" t="s">
        <v>113</v>
      </c>
      <c r="B5" s="43"/>
      <c r="C5" s="55" t="s">
        <v>6</v>
      </c>
      <c r="D5" s="44"/>
      <c r="E5" s="44"/>
      <c r="F5" s="26"/>
      <c r="G5" s="22"/>
      <c r="H5" s="22"/>
      <c r="I5" s="22"/>
      <c r="J5" s="22"/>
      <c r="K5" s="22"/>
      <c r="L5" s="22"/>
    </row>
    <row r="6" spans="1:12" ht="15.75">
      <c r="A6" s="183" t="s">
        <v>114</v>
      </c>
      <c r="B6" s="25"/>
      <c r="C6" s="56" t="s">
        <v>1</v>
      </c>
      <c r="D6" s="27"/>
      <c r="E6" s="27"/>
      <c r="F6" s="27"/>
      <c r="G6" s="22"/>
      <c r="H6" s="22"/>
      <c r="I6" s="22"/>
      <c r="J6" s="22"/>
      <c r="K6" s="22"/>
      <c r="L6" s="22"/>
    </row>
    <row r="7" spans="1:12" ht="15.75">
      <c r="A7" s="47" t="s">
        <v>11</v>
      </c>
      <c r="B7" s="25"/>
      <c r="C7" s="59" t="s">
        <v>12</v>
      </c>
      <c r="D7" s="27"/>
      <c r="E7" s="25"/>
      <c r="F7" s="25"/>
      <c r="G7" s="22"/>
      <c r="H7" s="22"/>
      <c r="I7" s="22"/>
      <c r="J7" s="22"/>
      <c r="K7" s="22"/>
      <c r="L7" s="22"/>
    </row>
    <row r="8" spans="1:12" ht="15.75">
      <c r="A8" s="47"/>
      <c r="B8" s="25"/>
      <c r="C8" s="25"/>
      <c r="D8" s="25"/>
      <c r="E8" s="25"/>
      <c r="F8" s="25"/>
      <c r="G8" s="22"/>
      <c r="H8" s="22"/>
      <c r="I8" s="22"/>
      <c r="J8" s="22"/>
      <c r="K8" s="22"/>
      <c r="L8" s="22"/>
    </row>
    <row r="9" spans="1:12" ht="15.75">
      <c r="A9" s="199" t="s">
        <v>115</v>
      </c>
      <c r="B9" s="200"/>
      <c r="C9" s="200"/>
      <c r="D9" s="200"/>
      <c r="E9" s="200"/>
      <c r="F9" s="201"/>
      <c r="G9" s="28"/>
      <c r="H9" s="28"/>
      <c r="I9" s="28"/>
      <c r="J9" s="28"/>
      <c r="K9" s="28"/>
      <c r="L9" s="28"/>
    </row>
    <row r="10" spans="1:12" ht="15">
      <c r="A10" s="29"/>
      <c r="B10" s="22"/>
      <c r="C10" s="22"/>
      <c r="D10" s="22"/>
      <c r="E10" s="22"/>
      <c r="F10" s="22"/>
      <c r="G10" s="22"/>
      <c r="H10" s="22"/>
      <c r="I10" s="22"/>
      <c r="J10" s="22"/>
      <c r="K10" s="22"/>
      <c r="L10" s="22"/>
    </row>
    <row r="11" spans="1:12" ht="47.25">
      <c r="A11" s="30" t="s">
        <v>116</v>
      </c>
      <c r="B11" s="31" t="s">
        <v>117</v>
      </c>
      <c r="C11" s="31" t="s">
        <v>118</v>
      </c>
      <c r="D11" s="31" t="s">
        <v>119</v>
      </c>
      <c r="E11" s="31" t="s">
        <v>120</v>
      </c>
      <c r="F11" s="31" t="s">
        <v>121</v>
      </c>
      <c r="G11" s="24"/>
      <c r="H11" s="24"/>
      <c r="I11" s="24"/>
      <c r="J11" s="24"/>
      <c r="K11" s="24"/>
      <c r="L11" s="24"/>
    </row>
    <row r="12" spans="1:12" ht="15.75">
      <c r="A12" s="202" t="s">
        <v>122</v>
      </c>
      <c r="B12" s="203"/>
      <c r="C12" s="203"/>
      <c r="D12" s="203"/>
      <c r="E12" s="203"/>
      <c r="F12" s="204"/>
      <c r="G12" s="22"/>
      <c r="H12" s="22"/>
      <c r="I12" s="22"/>
      <c r="J12" s="22"/>
      <c r="K12" s="22"/>
      <c r="L12" s="22"/>
    </row>
    <row r="13" spans="1:12" ht="15">
      <c r="A13" s="61" t="s">
        <v>123</v>
      </c>
      <c r="B13" s="62" t="s">
        <v>124</v>
      </c>
      <c r="C13" s="62" t="s">
        <v>125</v>
      </c>
      <c r="D13" s="63" t="s">
        <v>1</v>
      </c>
      <c r="E13" s="182" t="s">
        <v>126</v>
      </c>
      <c r="F13" s="182" t="s">
        <v>127</v>
      </c>
      <c r="G13" s="22"/>
      <c r="H13" s="22"/>
      <c r="I13" s="22"/>
      <c r="J13" s="22"/>
      <c r="K13" s="22"/>
      <c r="L13" s="22"/>
    </row>
    <row r="14" spans="1:12" ht="15">
      <c r="A14" s="32"/>
      <c r="B14" s="32"/>
      <c r="C14" s="32"/>
      <c r="D14" s="32"/>
      <c r="E14" s="32"/>
      <c r="F14" s="32"/>
      <c r="G14" s="22"/>
      <c r="H14" s="22"/>
      <c r="I14" s="22"/>
      <c r="J14" s="22"/>
      <c r="K14" s="22"/>
      <c r="L14" s="22"/>
    </row>
    <row r="15" spans="1:12" ht="15">
      <c r="A15" s="32"/>
      <c r="B15" s="32"/>
      <c r="C15" s="32"/>
      <c r="D15" s="32"/>
      <c r="E15" s="32"/>
      <c r="F15" s="32"/>
      <c r="G15" s="22"/>
      <c r="H15" s="22"/>
      <c r="I15" s="22"/>
      <c r="J15" s="22"/>
      <c r="K15" s="22"/>
      <c r="L15" s="22"/>
    </row>
    <row r="16" spans="1:12" ht="15">
      <c r="A16" s="32"/>
      <c r="B16" s="32"/>
      <c r="C16" s="32"/>
      <c r="D16" s="32"/>
      <c r="E16" s="32"/>
      <c r="F16" s="32"/>
      <c r="G16" s="22"/>
      <c r="H16" s="22"/>
      <c r="I16" s="22"/>
      <c r="J16" s="22"/>
      <c r="K16" s="22"/>
      <c r="L16" s="22"/>
    </row>
    <row r="17" spans="1:6" ht="15">
      <c r="A17" s="32"/>
      <c r="B17" s="32"/>
      <c r="C17" s="32"/>
      <c r="D17" s="32"/>
      <c r="E17" s="32"/>
      <c r="F17" s="32"/>
    </row>
    <row r="18" spans="1:6" ht="15">
      <c r="A18" s="32"/>
      <c r="B18" s="32"/>
      <c r="C18" s="32"/>
      <c r="D18" s="32"/>
      <c r="E18" s="32"/>
      <c r="F18" s="32"/>
    </row>
    <row r="19" spans="1:6" ht="15.75">
      <c r="A19" s="202" t="s">
        <v>128</v>
      </c>
      <c r="B19" s="203"/>
      <c r="C19" s="203"/>
      <c r="D19" s="203"/>
      <c r="E19" s="203"/>
      <c r="F19" s="204"/>
    </row>
    <row r="20" spans="1:6" ht="15">
      <c r="A20" s="61" t="s">
        <v>123</v>
      </c>
      <c r="B20" s="62" t="s">
        <v>124</v>
      </c>
      <c r="C20" s="62" t="s">
        <v>125</v>
      </c>
      <c r="D20" s="63" t="s">
        <v>1</v>
      </c>
      <c r="E20" s="182" t="s">
        <v>126</v>
      </c>
      <c r="F20" s="182" t="s">
        <v>127</v>
      </c>
    </row>
    <row r="21" spans="1:6" ht="15">
      <c r="A21" s="32"/>
      <c r="B21" s="32"/>
      <c r="C21" s="32"/>
      <c r="D21" s="32"/>
      <c r="E21" s="32"/>
      <c r="F21" s="32"/>
    </row>
    <row r="22" spans="1:6" ht="15">
      <c r="A22" s="32"/>
      <c r="B22" s="32"/>
      <c r="C22" s="32"/>
      <c r="D22" s="32"/>
      <c r="E22" s="32"/>
      <c r="F22" s="32"/>
    </row>
    <row r="23" spans="1:6" ht="15">
      <c r="A23" s="32"/>
      <c r="B23" s="32"/>
      <c r="C23" s="32"/>
      <c r="D23" s="32"/>
      <c r="E23" s="32"/>
      <c r="F23" s="32"/>
    </row>
    <row r="24" spans="1:6" ht="15">
      <c r="A24" s="32"/>
      <c r="B24" s="32"/>
      <c r="C24" s="32"/>
      <c r="D24" s="32"/>
      <c r="E24" s="32"/>
      <c r="F24" s="32"/>
    </row>
    <row r="26" spans="1:6" ht="15.75">
      <c r="A26" s="202" t="s">
        <v>129</v>
      </c>
      <c r="B26" s="203"/>
      <c r="C26" s="203"/>
      <c r="D26" s="204"/>
      <c r="E26" s="22"/>
      <c r="F26" s="22"/>
    </row>
    <row r="27" spans="1:6" ht="15.75">
      <c r="A27" s="205" t="s">
        <v>130</v>
      </c>
      <c r="B27" s="205"/>
      <c r="C27" s="33" t="s">
        <v>131</v>
      </c>
      <c r="D27" s="33" t="s">
        <v>132</v>
      </c>
      <c r="E27" s="22"/>
      <c r="F27" s="22"/>
    </row>
    <row r="28" spans="1:6" ht="15">
      <c r="A28" s="34"/>
      <c r="B28" s="64" t="s">
        <v>133</v>
      </c>
      <c r="C28" s="65" t="s">
        <v>134</v>
      </c>
      <c r="D28" s="65">
        <f>COUNTIF(C12:C13, B28)</f>
        <v>0</v>
      </c>
      <c r="E28" s="22"/>
      <c r="F28" s="22"/>
    </row>
  </sheetData>
  <mergeCells count="5">
    <mergeCell ref="A9:F9"/>
    <mergeCell ref="A12:F12"/>
    <mergeCell ref="A19:F19"/>
    <mergeCell ref="A26:D26"/>
    <mergeCell ref="A27:B27"/>
  </mergeCells>
  <conditionalFormatting sqref="C28:D28">
    <cfRule type="containsBlanks" dxfId="0" priority="1">
      <formula>LEN(TRIM(C28))=0</formula>
    </cfRule>
  </conditionalFormatting>
  <pageMargins left="0.7" right="0.7" top="0.75" bottom="0.75" header="0.3" footer="0.3"/>
  <pageSetup paperSize="9" scale="82"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4C4C-2F67-4AF8-BEAF-52A767AB391F}">
  <dimension ref="A1:V43"/>
  <sheetViews>
    <sheetView topLeftCell="A11" workbookViewId="0">
      <selection activeCell="D49" sqref="D49"/>
    </sheetView>
  </sheetViews>
  <sheetFormatPr defaultColWidth="9.140625" defaultRowHeight="15"/>
  <cols>
    <col min="1" max="1" width="6.42578125" style="73" customWidth="1"/>
    <col min="2" max="2" width="14.28515625" style="75" customWidth="1"/>
    <col min="3" max="3" width="44.42578125" style="76" customWidth="1"/>
    <col min="4" max="4" width="18.28515625" style="76" bestFit="1" customWidth="1"/>
    <col min="5" max="5" width="20.7109375" style="77" customWidth="1"/>
    <col min="6" max="6" width="24.7109375" style="78" bestFit="1" customWidth="1"/>
    <col min="7" max="7" width="20.7109375" style="73" customWidth="1"/>
    <col min="8" max="8" width="33.28515625" style="73" bestFit="1" customWidth="1"/>
    <col min="9" max="9" width="72.140625" style="73" customWidth="1"/>
    <col min="10" max="10" width="16.140625" style="73" bestFit="1" customWidth="1"/>
    <col min="11" max="11" width="15.7109375" style="73" bestFit="1" customWidth="1"/>
    <col min="12" max="12" width="16.140625" style="73" bestFit="1" customWidth="1"/>
    <col min="13" max="16384" width="9.140625" style="73"/>
  </cols>
  <sheetData>
    <row r="1" spans="1:10" ht="13.15" customHeight="1">
      <c r="A1" s="209" t="s">
        <v>135</v>
      </c>
      <c r="B1" s="209"/>
      <c r="C1" s="209"/>
      <c r="D1" s="209"/>
      <c r="E1" s="209"/>
      <c r="F1" s="209"/>
    </row>
    <row r="2" spans="1:10" ht="13.15" customHeight="1">
      <c r="A2" s="74"/>
    </row>
    <row r="3" spans="1:10" ht="13.15" customHeight="1">
      <c r="A3" s="210" t="s">
        <v>136</v>
      </c>
      <c r="B3" s="210"/>
      <c r="C3" s="210"/>
      <c r="D3" s="210"/>
      <c r="E3" s="210"/>
      <c r="F3" s="210"/>
    </row>
    <row r="4" spans="1:10" ht="13.15" customHeight="1">
      <c r="A4" s="74" t="s">
        <v>137</v>
      </c>
    </row>
    <row r="5" spans="1:10" ht="13.15" customHeight="1">
      <c r="A5" s="74"/>
    </row>
    <row r="6" spans="1:10" ht="13.15" customHeight="1">
      <c r="A6" s="211" t="s">
        <v>138</v>
      </c>
      <c r="B6" s="212"/>
      <c r="C6" s="212"/>
      <c r="D6" s="212"/>
      <c r="E6" s="212"/>
      <c r="F6" s="79"/>
    </row>
    <row r="7" spans="1:10" ht="13.15" customHeight="1">
      <c r="A7" s="213" t="s">
        <v>139</v>
      </c>
      <c r="B7" s="214"/>
      <c r="C7" s="214"/>
      <c r="D7" s="214"/>
      <c r="E7" s="214"/>
      <c r="F7" s="215"/>
      <c r="G7" s="80"/>
    </row>
    <row r="8" spans="1:10" s="88" customFormat="1" ht="13.15" customHeight="1">
      <c r="A8" s="81"/>
      <c r="B8" s="82" t="s">
        <v>140</v>
      </c>
      <c r="C8" s="83" t="s">
        <v>141</v>
      </c>
      <c r="D8" s="84" t="s">
        <v>142</v>
      </c>
      <c r="E8" s="85" t="s">
        <v>143</v>
      </c>
      <c r="F8" s="86" t="s">
        <v>144</v>
      </c>
      <c r="G8" s="80"/>
      <c r="H8" s="87"/>
      <c r="J8" s="89"/>
    </row>
    <row r="9" spans="1:10" s="88" customFormat="1" ht="13.15" customHeight="1">
      <c r="A9" s="90"/>
      <c r="B9" s="91"/>
      <c r="C9" s="92"/>
      <c r="D9" s="93"/>
      <c r="E9" s="94"/>
      <c r="F9" s="95"/>
      <c r="G9" s="80"/>
      <c r="J9" s="89"/>
    </row>
    <row r="10" spans="1:10" s="88" customFormat="1" ht="13.15" customHeight="1">
      <c r="A10" s="96" t="s">
        <v>145</v>
      </c>
      <c r="B10" s="97" t="s">
        <v>146</v>
      </c>
      <c r="C10" s="98"/>
      <c r="D10" s="99"/>
      <c r="E10" s="100"/>
      <c r="F10" s="101"/>
      <c r="G10" s="102"/>
    </row>
    <row r="11" spans="1:10" s="88" customFormat="1" ht="13.15" customHeight="1">
      <c r="A11" s="103" t="s">
        <v>123</v>
      </c>
      <c r="B11" s="216" t="s">
        <v>147</v>
      </c>
      <c r="C11" s="217"/>
      <c r="D11" s="104"/>
      <c r="E11" s="104"/>
      <c r="F11" s="105"/>
      <c r="G11" s="106"/>
    </row>
    <row r="12" spans="1:10" s="88" customFormat="1" ht="13.15" customHeight="1">
      <c r="A12" s="103"/>
      <c r="B12" s="218" t="s">
        <v>148</v>
      </c>
      <c r="C12" s="219"/>
      <c r="D12" s="107"/>
      <c r="E12" s="107"/>
      <c r="F12" s="105"/>
      <c r="G12" s="106"/>
    </row>
    <row r="13" spans="1:10" s="88" customFormat="1" ht="13.15" customHeight="1">
      <c r="A13" s="108"/>
      <c r="B13" s="109" t="s">
        <v>149</v>
      </c>
      <c r="C13" s="110" t="s">
        <v>150</v>
      </c>
      <c r="D13" s="111"/>
      <c r="E13" s="112" t="s">
        <v>151</v>
      </c>
      <c r="F13" s="189" t="s">
        <v>152</v>
      </c>
      <c r="G13" s="106"/>
    </row>
    <row r="14" spans="1:10" s="121" customFormat="1" ht="13.15" customHeight="1">
      <c r="A14" s="114"/>
      <c r="B14" s="115"/>
      <c r="C14" s="116"/>
      <c r="D14" s="117"/>
      <c r="E14" s="118"/>
      <c r="F14" s="119"/>
      <c r="G14" s="120"/>
    </row>
    <row r="15" spans="1:10" s="121" customFormat="1" ht="13.15" customHeight="1">
      <c r="A15" s="122"/>
      <c r="B15" s="220" t="s">
        <v>153</v>
      </c>
      <c r="C15" s="221"/>
      <c r="D15" s="222"/>
      <c r="E15" s="223"/>
      <c r="F15" s="123">
        <f>SUM(F13)</f>
        <v>0</v>
      </c>
      <c r="G15" s="124"/>
      <c r="H15" s="125"/>
    </row>
    <row r="16" spans="1:10" s="121" customFormat="1" ht="13.15" customHeight="1">
      <c r="A16" s="114"/>
      <c r="B16" s="224"/>
      <c r="C16" s="225"/>
      <c r="D16" s="225"/>
      <c r="E16" s="226"/>
      <c r="F16" s="126"/>
      <c r="G16" s="120"/>
    </row>
    <row r="17" spans="1:22" s="129" customFormat="1" ht="13.15" customHeight="1">
      <c r="A17" s="127" t="s">
        <v>154</v>
      </c>
      <c r="B17" s="206" t="s">
        <v>155</v>
      </c>
      <c r="C17" s="207"/>
      <c r="D17" s="207"/>
      <c r="E17" s="208"/>
      <c r="F17" s="128"/>
      <c r="G17" s="80"/>
    </row>
    <row r="18" spans="1:22" s="135" customFormat="1" ht="13.15" customHeight="1">
      <c r="A18" s="130"/>
      <c r="B18" s="109" t="s">
        <v>149</v>
      </c>
      <c r="C18" s="131" t="s">
        <v>150</v>
      </c>
      <c r="D18" s="132"/>
      <c r="E18" s="133" t="s">
        <v>151</v>
      </c>
      <c r="F18" s="189" t="s">
        <v>152</v>
      </c>
      <c r="G18" s="134"/>
    </row>
    <row r="19" spans="1:22" s="129" customFormat="1" ht="13.15" customHeight="1">
      <c r="A19" s="136"/>
      <c r="B19" s="137"/>
      <c r="C19" s="138"/>
      <c r="D19" s="139"/>
      <c r="E19" s="140"/>
      <c r="F19" s="126"/>
      <c r="G19" s="141"/>
    </row>
    <row r="20" spans="1:22" s="121" customFormat="1" ht="13.15" customHeight="1">
      <c r="A20" s="122"/>
      <c r="B20" s="220" t="s">
        <v>156</v>
      </c>
      <c r="C20" s="222"/>
      <c r="D20" s="222"/>
      <c r="E20" s="223"/>
      <c r="F20" s="123" t="s">
        <v>157</v>
      </c>
      <c r="G20" s="124"/>
    </row>
    <row r="21" spans="1:22" s="121" customFormat="1" ht="13.15" customHeight="1">
      <c r="A21" s="114"/>
      <c r="B21" s="227"/>
      <c r="C21" s="228"/>
      <c r="D21" s="228"/>
      <c r="E21" s="229"/>
      <c r="F21" s="126"/>
      <c r="G21" s="120"/>
    </row>
    <row r="22" spans="1:22" s="121" customFormat="1" ht="13.15" customHeight="1">
      <c r="A22" s="127" t="s">
        <v>158</v>
      </c>
      <c r="B22" s="206" t="s">
        <v>159</v>
      </c>
      <c r="C22" s="207"/>
      <c r="D22" s="207"/>
      <c r="E22" s="208"/>
      <c r="F22" s="128"/>
      <c r="G22" s="124"/>
    </row>
    <row r="23" spans="1:22" s="145" customFormat="1" ht="13.15" customHeight="1">
      <c r="A23" s="142"/>
      <c r="B23" s="109" t="s">
        <v>149</v>
      </c>
      <c r="C23" s="110" t="s">
        <v>150</v>
      </c>
      <c r="D23" s="143"/>
      <c r="E23" s="133" t="s">
        <v>151</v>
      </c>
      <c r="F23" s="189" t="s">
        <v>152</v>
      </c>
      <c r="G23" s="144"/>
    </row>
    <row r="24" spans="1:22" s="121" customFormat="1" ht="13.15" customHeight="1">
      <c r="A24" s="146"/>
      <c r="B24" s="147"/>
      <c r="C24" s="148"/>
      <c r="D24" s="149"/>
      <c r="E24" s="150"/>
      <c r="F24" s="113"/>
      <c r="G24" s="120"/>
    </row>
    <row r="25" spans="1:22" s="121" customFormat="1" ht="13.15" customHeight="1">
      <c r="A25" s="122"/>
      <c r="B25" s="220" t="s">
        <v>156</v>
      </c>
      <c r="C25" s="222"/>
      <c r="D25" s="222"/>
      <c r="E25" s="223"/>
      <c r="F25" s="123" t="s">
        <v>160</v>
      </c>
      <c r="G25" s="120"/>
    </row>
    <row r="26" spans="1:22" s="121" customFormat="1" ht="13.15" customHeight="1">
      <c r="A26" s="114"/>
      <c r="B26" s="137"/>
      <c r="C26" s="151"/>
      <c r="D26" s="152"/>
      <c r="E26" s="140"/>
      <c r="F26" s="153"/>
      <c r="G26" s="124"/>
    </row>
    <row r="27" spans="1:22" s="121" customFormat="1" ht="13.15" customHeight="1">
      <c r="A27" s="127" t="s">
        <v>161</v>
      </c>
      <c r="B27" s="206" t="s">
        <v>162</v>
      </c>
      <c r="C27" s="207"/>
      <c r="D27" s="207"/>
      <c r="E27" s="208"/>
      <c r="F27" s="128"/>
      <c r="G27" s="120"/>
      <c r="H27" s="154"/>
      <c r="I27" s="154"/>
      <c r="J27" s="155"/>
      <c r="K27" s="120"/>
      <c r="L27" s="156"/>
      <c r="M27" s="129"/>
      <c r="N27" s="129"/>
      <c r="O27" s="129"/>
      <c r="P27" s="129"/>
      <c r="Q27" s="129"/>
      <c r="R27" s="129"/>
      <c r="S27" s="129"/>
      <c r="T27" s="129"/>
      <c r="U27" s="129"/>
      <c r="V27" s="129"/>
    </row>
    <row r="28" spans="1:22" s="145" customFormat="1" ht="13.15" customHeight="1">
      <c r="A28" s="130"/>
      <c r="B28" s="157" t="s">
        <v>149</v>
      </c>
      <c r="C28" s="110" t="s">
        <v>150</v>
      </c>
      <c r="D28" s="132"/>
      <c r="E28" s="133" t="s">
        <v>151</v>
      </c>
      <c r="F28" s="190" t="s">
        <v>152</v>
      </c>
      <c r="G28" s="144"/>
      <c r="H28" s="158"/>
      <c r="I28" s="158"/>
      <c r="J28" s="159"/>
      <c r="K28" s="144"/>
      <c r="M28" s="135"/>
      <c r="N28" s="135"/>
      <c r="O28" s="135"/>
      <c r="P28" s="135"/>
      <c r="Q28" s="135"/>
      <c r="R28" s="135"/>
      <c r="S28" s="135"/>
      <c r="T28" s="135"/>
      <c r="U28" s="135"/>
      <c r="V28" s="135"/>
    </row>
    <row r="29" spans="1:22" s="121" customFormat="1" ht="13.15" customHeight="1">
      <c r="A29" s="136"/>
      <c r="B29" s="160"/>
      <c r="C29" s="161"/>
      <c r="D29" s="139"/>
      <c r="E29" s="140"/>
      <c r="F29" s="162"/>
      <c r="G29" s="120"/>
      <c r="H29" s="154"/>
      <c r="I29" s="154"/>
      <c r="J29" s="155"/>
      <c r="K29" s="120"/>
      <c r="L29" s="156"/>
      <c r="M29" s="129"/>
      <c r="N29" s="129"/>
      <c r="O29" s="129"/>
      <c r="P29" s="129"/>
      <c r="Q29" s="129"/>
      <c r="R29" s="129"/>
      <c r="S29" s="129"/>
      <c r="T29" s="129"/>
      <c r="U29" s="129"/>
      <c r="V29" s="129"/>
    </row>
    <row r="30" spans="1:22" s="121" customFormat="1" ht="13.15" customHeight="1">
      <c r="A30" s="122"/>
      <c r="B30" s="220" t="s">
        <v>156</v>
      </c>
      <c r="C30" s="222"/>
      <c r="D30" s="222"/>
      <c r="E30" s="223"/>
      <c r="F30" s="123" t="s">
        <v>163</v>
      </c>
      <c r="G30" s="120"/>
      <c r="H30" s="154"/>
      <c r="I30" s="154"/>
      <c r="J30" s="155"/>
      <c r="K30" s="120"/>
      <c r="L30" s="156"/>
      <c r="M30" s="129"/>
      <c r="N30" s="129"/>
      <c r="O30" s="129"/>
      <c r="P30" s="129"/>
      <c r="Q30" s="129"/>
      <c r="R30" s="129"/>
      <c r="S30" s="129"/>
      <c r="T30" s="129"/>
      <c r="U30" s="129"/>
      <c r="V30" s="129"/>
    </row>
    <row r="31" spans="1:22" s="121" customFormat="1" ht="13.15" customHeight="1">
      <c r="A31" s="114"/>
      <c r="B31" s="137"/>
      <c r="C31" s="151"/>
      <c r="D31" s="152"/>
      <c r="E31" s="140"/>
      <c r="F31" s="153"/>
      <c r="G31" s="120"/>
      <c r="H31" s="154"/>
      <c r="I31" s="154"/>
      <c r="J31" s="155"/>
      <c r="K31" s="120"/>
      <c r="L31" s="156"/>
      <c r="M31" s="129"/>
      <c r="N31" s="129"/>
      <c r="O31" s="129"/>
      <c r="P31" s="129"/>
      <c r="Q31" s="129"/>
      <c r="R31" s="129"/>
      <c r="S31" s="129"/>
      <c r="T31" s="129"/>
      <c r="U31" s="129"/>
      <c r="V31" s="129"/>
    </row>
    <row r="32" spans="1:22" s="88" customFormat="1" ht="13.15" customHeight="1">
      <c r="A32" s="127" t="s">
        <v>164</v>
      </c>
      <c r="B32" s="97" t="s">
        <v>165</v>
      </c>
      <c r="C32" s="98"/>
      <c r="D32" s="99"/>
      <c r="E32" s="100"/>
      <c r="F32" s="163"/>
      <c r="G32" s="102"/>
    </row>
    <row r="33" spans="1:22" s="88" customFormat="1" ht="13.15" customHeight="1">
      <c r="A33" s="103"/>
      <c r="B33" s="233"/>
      <c r="C33" s="234"/>
      <c r="D33" s="164"/>
      <c r="E33" s="165"/>
      <c r="F33" s="166"/>
      <c r="G33" s="106"/>
    </row>
    <row r="34" spans="1:22" s="173" customFormat="1" ht="13.15" customHeight="1">
      <c r="A34" s="167"/>
      <c r="B34" s="168" t="s">
        <v>149</v>
      </c>
      <c r="C34" s="169" t="s">
        <v>150</v>
      </c>
      <c r="D34" s="170"/>
      <c r="E34" s="171" t="s">
        <v>151</v>
      </c>
      <c r="F34" s="191" t="s">
        <v>166</v>
      </c>
      <c r="G34" s="172"/>
    </row>
    <row r="35" spans="1:22" s="121" customFormat="1" ht="13.15" customHeight="1">
      <c r="A35" s="114"/>
      <c r="B35" s="174"/>
      <c r="C35" s="175"/>
      <c r="D35" s="139"/>
      <c r="E35" s="118"/>
      <c r="F35" s="176"/>
      <c r="G35" s="120"/>
    </row>
    <row r="36" spans="1:22" s="121" customFormat="1" ht="13.15" customHeight="1">
      <c r="A36" s="122"/>
      <c r="B36" s="220" t="s">
        <v>153</v>
      </c>
      <c r="C36" s="221"/>
      <c r="D36" s="222"/>
      <c r="E36" s="223"/>
      <c r="F36" s="123" t="s">
        <v>167</v>
      </c>
      <c r="G36" s="120"/>
      <c r="H36" s="154"/>
      <c r="I36" s="154"/>
      <c r="J36" s="155"/>
      <c r="K36" s="120"/>
      <c r="L36" s="156"/>
      <c r="M36" s="129"/>
      <c r="N36" s="129"/>
      <c r="O36" s="129"/>
      <c r="P36" s="129"/>
      <c r="Q36" s="129"/>
      <c r="R36" s="129"/>
      <c r="S36" s="129"/>
      <c r="T36" s="129"/>
      <c r="U36" s="129"/>
      <c r="V36" s="129"/>
    </row>
    <row r="37" spans="1:22" ht="13.15" customHeight="1">
      <c r="A37" s="177"/>
      <c r="B37" s="235"/>
      <c r="C37" s="236"/>
      <c r="D37" s="236"/>
      <c r="E37" s="237"/>
      <c r="F37" s="178"/>
    </row>
    <row r="38" spans="1:22" ht="13.15" customHeight="1">
      <c r="A38" s="127" t="s">
        <v>168</v>
      </c>
      <c r="B38" s="238" t="s">
        <v>169</v>
      </c>
      <c r="C38" s="239"/>
      <c r="D38" s="239"/>
      <c r="E38" s="240"/>
      <c r="F38" s="128" t="s">
        <v>170</v>
      </c>
    </row>
    <row r="39" spans="1:22" ht="13.15" customHeight="1">
      <c r="A39" s="114"/>
      <c r="B39" s="241"/>
      <c r="C39" s="242"/>
      <c r="D39" s="242"/>
      <c r="E39" s="243"/>
      <c r="F39" s="179"/>
    </row>
    <row r="40" spans="1:22" ht="13.15" customHeight="1">
      <c r="A40" s="136" t="s">
        <v>171</v>
      </c>
      <c r="B40" s="244" t="s">
        <v>172</v>
      </c>
      <c r="C40" s="245"/>
      <c r="D40" s="245"/>
      <c r="E40" s="246"/>
      <c r="F40" s="180" t="e">
        <f>F38-F36</f>
        <v>#VALUE!</v>
      </c>
    </row>
    <row r="41" spans="1:22" ht="13.15" customHeight="1">
      <c r="A41" s="136" t="s">
        <v>173</v>
      </c>
      <c r="B41" s="244" t="s">
        <v>174</v>
      </c>
      <c r="C41" s="245"/>
      <c r="D41" s="245"/>
      <c r="E41" s="246"/>
      <c r="F41" s="180" t="e">
        <f>ROUND(F40*A42%, 2)</f>
        <v>#VALUE!</v>
      </c>
    </row>
    <row r="42" spans="1:22" ht="13.15" customHeight="1">
      <c r="A42" s="193" t="s">
        <v>175</v>
      </c>
      <c r="B42" s="230"/>
      <c r="C42" s="231"/>
      <c r="D42" s="231"/>
      <c r="E42" s="232"/>
      <c r="F42" s="126"/>
    </row>
    <row r="43" spans="1:22" ht="13.15" customHeight="1">
      <c r="A43" s="114"/>
      <c r="B43" s="230" t="s">
        <v>176</v>
      </c>
      <c r="C43" s="231"/>
      <c r="D43" s="231"/>
      <c r="E43" s="232"/>
      <c r="F43" s="179" t="e">
        <f>F38+F41</f>
        <v>#VALUE!</v>
      </c>
    </row>
  </sheetData>
  <mergeCells count="24">
    <mergeCell ref="B43:E43"/>
    <mergeCell ref="B25:E25"/>
    <mergeCell ref="B27:E27"/>
    <mergeCell ref="B30:E30"/>
    <mergeCell ref="B33:C33"/>
    <mergeCell ref="B36:E36"/>
    <mergeCell ref="B37:E37"/>
    <mergeCell ref="B38:E38"/>
    <mergeCell ref="B39:E39"/>
    <mergeCell ref="B40:E40"/>
    <mergeCell ref="B41:E41"/>
    <mergeCell ref="B42:E42"/>
    <mergeCell ref="B22:E22"/>
    <mergeCell ref="A1:F1"/>
    <mergeCell ref="A3:F3"/>
    <mergeCell ref="A6:E6"/>
    <mergeCell ref="A7:F7"/>
    <mergeCell ref="B11:C11"/>
    <mergeCell ref="B12:C12"/>
    <mergeCell ref="B15:E15"/>
    <mergeCell ref="B16:E16"/>
    <mergeCell ref="B17:E17"/>
    <mergeCell ref="B20:E20"/>
    <mergeCell ref="B21:E21"/>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Singapore Government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Clarice CHEN (NRF)</dc:creator>
  <cp:keywords/>
  <dc:description/>
  <cp:lastModifiedBy>Adarsh SM</cp:lastModifiedBy>
  <cp:revision/>
  <dcterms:created xsi:type="dcterms:W3CDTF">2014-04-03T01:53:06Z</dcterms:created>
  <dcterms:modified xsi:type="dcterms:W3CDTF">2025-05-16T12:09:45Z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288355-fb4c-44cd-b9ca-40cfc2aee5f8_Enabled">
    <vt:lpwstr>true</vt:lpwstr>
  </property>
  <property fmtid="{D5CDD505-2E9C-101B-9397-08002B2CF9AE}" pid="3" name="MSIP_Label_4f288355-fb4c-44cd-b9ca-40cfc2aee5f8_SetDate">
    <vt:lpwstr>2022-02-28T09:05:03Z</vt:lpwstr>
  </property>
  <property fmtid="{D5CDD505-2E9C-101B-9397-08002B2CF9AE}" pid="4" name="MSIP_Label_4f288355-fb4c-44cd-b9ca-40cfc2aee5f8_Method">
    <vt:lpwstr>Standard</vt:lpwstr>
  </property>
  <property fmtid="{D5CDD505-2E9C-101B-9397-08002B2CF9AE}" pid="5" name="MSIP_Label_4f288355-fb4c-44cd-b9ca-40cfc2aee5f8_Name">
    <vt:lpwstr>Non Sensitive_1</vt:lpwstr>
  </property>
  <property fmtid="{D5CDD505-2E9C-101B-9397-08002B2CF9AE}" pid="6" name="MSIP_Label_4f288355-fb4c-44cd-b9ca-40cfc2aee5f8_SiteId">
    <vt:lpwstr>0b11c524-9a1c-4e1b-84cb-6336aefc2243</vt:lpwstr>
  </property>
  <property fmtid="{D5CDD505-2E9C-101B-9397-08002B2CF9AE}" pid="7" name="MSIP_Label_4f288355-fb4c-44cd-b9ca-40cfc2aee5f8_ActionId">
    <vt:lpwstr>a5b9d944-1d1d-4a86-8e8b-051aed4fce4c</vt:lpwstr>
  </property>
  <property fmtid="{D5CDD505-2E9C-101B-9397-08002B2CF9AE}" pid="8" name="MSIP_Label_4f288355-fb4c-44cd-b9ca-40cfc2aee5f8_ContentBits">
    <vt:lpwstr>0</vt:lpwstr>
  </property>
</Properties>
</file>